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2026年4月计划  (以工作面划分)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<sst xmlns="http://schemas.openxmlformats.org/spreadsheetml/2006/main" count="69" uniqueCount="61">
  <si>
    <t>防冲队2026年5月份工作计划</t>
  </si>
  <si>
    <t>序号</t>
  </si>
  <si>
    <t>工作地点</t>
  </si>
  <si>
    <t>工作任务</t>
  </si>
  <si>
    <t>月度计划进尺</t>
  </si>
  <si>
    <t>钻进进尺（应力孔）
φ45mm，长度15m</t>
  </si>
  <si>
    <t>钻进进尺（大直径卸压孔）
φ153mm，长度20m</t>
  </si>
  <si>
    <t>专用锚杆（根）
φ22mm，长度2.5m</t>
  </si>
  <si>
    <t>完成情况</t>
  </si>
  <si>
    <t>2201胶运</t>
  </si>
  <si>
    <r>
      <rPr>
        <b/>
        <sz val="11"/>
        <rFont val="仿宋"/>
        <charset val="134"/>
      </rPr>
      <t xml:space="preserve">1.微震倒组1次（单次150-200m），回收线缆约200m。
2.地音倒组2次（单次100m），回收线缆约200m。
</t>
    </r>
    <r>
      <rPr>
        <b/>
        <sz val="11"/>
        <color rgb="FF0070C0"/>
        <rFont val="仿宋"/>
        <charset val="134"/>
      </rPr>
      <t>3.应力计倒移9组，倒组后线缆跨巷敷设。</t>
    </r>
    <r>
      <rPr>
        <b/>
        <sz val="11"/>
        <rFont val="仿宋"/>
        <charset val="134"/>
      </rPr>
      <t xml:space="preserve">
</t>
    </r>
    <r>
      <rPr>
        <b/>
        <sz val="11"/>
        <color theme="4" tint="-0.25"/>
        <rFont val="仿宋"/>
        <charset val="134"/>
      </rPr>
      <t>4.依据现场实际，保障设备安装的前提下，施工地音、微震专用锚杆。</t>
    </r>
    <r>
      <rPr>
        <b/>
        <sz val="11"/>
        <rFont val="仿宋"/>
        <charset val="134"/>
      </rPr>
      <t xml:space="preserve">
5.200米附近地音主站、网关、电源巡查1次，并填写月度防爆检查卡。</t>
    </r>
  </si>
  <si>
    <t>月进度249m</t>
  </si>
  <si>
    <t>1.微震倒组1次；      2.地音倒组2次；   3.应力计挪移7次；  4.施工6根（地音3、微震3）；         5.完成。</t>
  </si>
  <si>
    <t>2201辅运</t>
  </si>
  <si>
    <t>1.微震倒组1次（单次150-200m），回收线缆约200m。
2.地音倒组2次（单次100m），回收线缆约200m。
3.应力计倒移9组，倒组后线缆跨巷敷设。
4.依据现场实际，保障设备安装的前提下，施工地音、微震专用锚杆。
5.850米处应力传感器电源、分站巡查1次，350米处综合测站的分站、电源巡查一次，并填写月度防爆检查卡。</t>
  </si>
  <si>
    <t xml:space="preserve">1.微震倒组1次；   2.地音倒组2次；    3.应力计挪移6次；  4.施工6根（地音3、微震3）；         5.完成。          </t>
  </si>
  <si>
    <t>2202胶运</t>
  </si>
  <si>
    <r>
      <t xml:space="preserve">1.微震倒组1次（单次150-200m），回收线缆约200m。
2.地音倒组2次（单次100m），回收线缆约200m。
</t>
    </r>
    <r>
      <rPr>
        <b/>
        <sz val="10.5"/>
        <color rgb="FF0070C0"/>
        <rFont val="仿宋"/>
        <charset val="134"/>
      </rPr>
      <t>3.应力计倒移8组，倒组后线缆跨巷敷设。</t>
    </r>
    <r>
      <rPr>
        <b/>
        <sz val="10.5"/>
        <rFont val="仿宋"/>
        <charset val="134"/>
      </rPr>
      <t xml:space="preserve">
</t>
    </r>
    <r>
      <rPr>
        <b/>
        <sz val="10.5"/>
        <color rgb="FF0070C0"/>
        <rFont val="仿宋"/>
        <charset val="134"/>
      </rPr>
      <t>4.依据现场实际，保障设备安装的前提下，施工地音、微震专用锚杆。</t>
    </r>
    <r>
      <rPr>
        <b/>
        <sz val="10.5"/>
        <rFont val="仿宋"/>
        <charset val="134"/>
      </rPr>
      <t xml:space="preserve">
5.2595米附近应力、地音传感器分站、网关，挪至回撤通道；巷道内电源巡查1次，并填写月度防爆检查卡。
</t>
    </r>
  </si>
  <si>
    <t>月进度286m</t>
  </si>
  <si>
    <t xml:space="preserve">1.微震倒组2次；   2.地音倒组3次；   3.应力计挪移8次；  4.施工6根（地音3、微震3）；         5.完成 。          </t>
  </si>
  <si>
    <t>2202辅运</t>
  </si>
  <si>
    <t>1.微震倒组1次（单次150-200m），回收线缆约200m。
2.地音倒组2次（单次100m），回收线缆约200m。
3.应力计倒移8组，倒组后线缆跨巷敷设。
4.依据现场实际，保障设备安装的前提下，施工地音、微震专用锚杆。
5.2050米处应力传感器分站、网关、电源巡查1次，并填写月度防爆检查卡。</t>
  </si>
  <si>
    <t xml:space="preserve">1.微震倒组1次；   2.地音倒组3次；    3.应力计挪移8次；  4.施工6根（地音3、微震3）；          5.完成 。   </t>
  </si>
  <si>
    <t>2103辅运</t>
  </si>
  <si>
    <r>
      <rPr>
        <b/>
        <sz val="10.5"/>
        <rFont val="仿宋"/>
        <charset val="134"/>
      </rPr>
      <t xml:space="preserve">1.微震倒移2次（单次200m），敷设线缆400m。
2.地音倒移5次（单次100m），敷设线缆500m。
3.应力计倒组17组。
</t>
    </r>
    <r>
      <rPr>
        <b/>
        <sz val="10.5"/>
        <color rgb="FF0070C0"/>
        <rFont val="仿宋"/>
        <charset val="134"/>
      </rPr>
      <t>4.按月进度直巷529m计算，保底施工应力孔17组，安装油压枕17组；钻孔255m。</t>
    </r>
    <r>
      <rPr>
        <b/>
        <sz val="10.5"/>
        <rFont val="仿宋"/>
        <charset val="134"/>
      </rPr>
      <t xml:space="preserve">
</t>
    </r>
    <r>
      <rPr>
        <b/>
        <sz val="10.5"/>
        <color rgb="FF0070C0"/>
        <rFont val="仿宋"/>
        <charset val="134"/>
      </rPr>
      <t>5.按月进度直巷529m计算，保底施工卸压孔176个，施工卸压孔3520米。</t>
    </r>
    <r>
      <rPr>
        <b/>
        <sz val="10.5"/>
        <rFont val="仿宋"/>
        <charset val="134"/>
      </rPr>
      <t xml:space="preserve">
</t>
    </r>
    <r>
      <rPr>
        <b/>
        <sz val="10.5"/>
        <color rgb="FFFF0000"/>
        <rFont val="仿宋"/>
        <charset val="134"/>
      </rPr>
      <t>6.按月进度直巷529m计算，每次施工掘进迎头留有支承压力峰值距煤壁安全距离大于28m，迎头卸压孔在硐室内施工，钻孔φ94mm，长度240-340m，预计月度施工557m。（若探放水孔不可用，增加一个孔）</t>
    </r>
    <r>
      <rPr>
        <b/>
        <sz val="10.5"/>
        <rFont val="仿宋"/>
        <charset val="134"/>
      </rPr>
      <t xml:space="preserve">
</t>
    </r>
    <r>
      <rPr>
        <b/>
        <sz val="10.5"/>
        <color rgb="FF00B050"/>
        <rFont val="仿宋"/>
        <charset val="134"/>
      </rPr>
      <t>7.用好2103辅运5G在线摄像头。（执法记录仪同步录，视频进行整理，备检使用）</t>
    </r>
    <r>
      <rPr>
        <b/>
        <sz val="10.5"/>
        <rFont val="仿宋"/>
        <charset val="134"/>
      </rPr>
      <t xml:space="preserve">
8.2101绕道口顶板离层仪、网关（剩余1台）、电源（剩余1台），矿压主站、分站；1850米地音主站、电源，泽明主站、分站、电源、网关巡查1次，并填写月度防爆检查卡；4000米地音主站、电源巡查一次。</t>
    </r>
  </si>
  <si>
    <t xml:space="preserve">1.微震倒组2次；   2.地音倒组4次；    3.应力计挪移15次； 5.施工140个；      6.完成；           7.正常使用；             8.完成 。   </t>
  </si>
  <si>
    <t>2103胶运</t>
  </si>
  <si>
    <r>
      <rPr>
        <b/>
        <sz val="10.5"/>
        <rFont val="仿宋"/>
        <charset val="134"/>
      </rPr>
      <t xml:space="preserve">1.微震倒移3次（单次200m），敷设线缆600m。
2.地音倒移7次（单次100m），敷设线缆700m。
3.回撤通道口矿压监测主站、分站、网关、电源；2070米附近地音主站、电源，泽明主站、分站、电源、网关巡查1次，并填写月度防爆检查卡。
</t>
    </r>
    <r>
      <rPr>
        <b/>
        <sz val="10.5"/>
        <color rgb="FFFF0000"/>
        <rFont val="仿宋"/>
        <charset val="134"/>
      </rPr>
      <t>4.2103胶运顺槽故障探头更换。</t>
    </r>
  </si>
  <si>
    <t>直巷698m</t>
  </si>
  <si>
    <t>1.微震倒组4次，   2.地音倒组6次.     3.完成；           4.完成。</t>
  </si>
  <si>
    <t>2103泄水卸压巷</t>
  </si>
  <si>
    <t>1.微震倒移3次（单次200m），敷设线缆600m。
2.地音倒移7次（单次100m），敷设线缆700m。
3.回撤通道口附近矿压检测、地音、泽明主站、分站、电源、网关巡查1次，并填写月度防爆检查卡。</t>
  </si>
  <si>
    <t xml:space="preserve">1.微震倒组2次；   2.地音倒组7次；    3.完成。      </t>
  </si>
  <si>
    <t>2202泄水卸压巷</t>
  </si>
  <si>
    <t>1.微震倒移3次（单次200m），敷设线缆600m。
2.地音倒移6次（单次100m），敷设线缆600m。
3.回撤通道口矿压监测主站、分站、电源、网关；地音（2200米）网关，地音（3950米）电源、主站，泽明（2800米）主站、电源、网关巡查1次，并填写月度防爆检查卡。</t>
  </si>
  <si>
    <t>直巷628m</t>
  </si>
  <si>
    <t xml:space="preserve">1.微震倒组3次；   2.地音倒组6次；    3.完成。    </t>
  </si>
  <si>
    <t>2204泄水卸压巷</t>
  </si>
  <si>
    <t>1.微震倒移3次（单次200m），敷设线缆600m。
2.地音倒移7次（单次100m），敷设线缆700m。
3.回撤通道口矿压监测主站、分站、电源、网关；2400米处地音网关，泽明主站、电源、网关巡查1次。地音（4100米）主站、电源巡查1次，并填写月度防爆检查卡。</t>
  </si>
  <si>
    <t xml:space="preserve">1.微震倒组3次；   2.地音倒组6次；    3.完成。       </t>
  </si>
  <si>
    <t>一号辅运大巷</t>
  </si>
  <si>
    <t>5台拾震器、主线路巡查1次，保持设备完好。</t>
  </si>
  <si>
    <t>完成</t>
  </si>
  <si>
    <t>二号辅运大巷</t>
  </si>
  <si>
    <t>主线路巡查1次，保持线缆完好。</t>
  </si>
  <si>
    <t>2102回撤通道</t>
  </si>
  <si>
    <t>每周完善周观测记录。（共5台设备，在线调数据记录）</t>
  </si>
  <si>
    <t>井下设备敷设区域</t>
  </si>
  <si>
    <t>应急处理应力计、地音、微震、顶板离层仪、端部载荷等监测设备的突发掉线；每次检查前临时维护系统。</t>
  </si>
  <si>
    <t>井底车场</t>
  </si>
  <si>
    <t>1.井底车场辅运联络巷口接线盒倒线。
2.一号辅运(1850m）、二号辅运（七联巷口）大巷倒线。</t>
  </si>
  <si>
    <t>2202沿空留巷</t>
  </si>
  <si>
    <t>1.威震安装                                      
2.地音挪移</t>
  </si>
  <si>
    <t>1.安装3组；      
2.地音倒组2次；</t>
  </si>
  <si>
    <t>合计（计划）</t>
  </si>
  <si>
    <t xml:space="preserve">设备挪移位置和钻孔施工均满足要求
</t>
  </si>
  <si>
    <t>实际完成</t>
  </si>
  <si>
    <t>780米</t>
  </si>
  <si>
    <t>2800米</t>
  </si>
  <si>
    <t>24根</t>
  </si>
  <si>
    <t>备注：蓝色标记内容有具体进尺数量。红色标记需确认钻进数量。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</si>
</sst>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name val="仿宋"/>
      <charset val="134"/>
    </font>
    <font>
      <b/>
      <sz val="10.5"/>
      <name val="仿宋"/>
      <charset val="134"/>
    </font>
    <font>
      <b/>
      <sz val="11"/>
      <color theme="1"/>
      <name val="仿宋"/>
      <charset val="134"/>
    </font>
    <font>
      <b/>
      <sz val="11"/>
      <color theme="1"/>
      <name val="宋体"/>
      <charset val="134"/>
      <scheme val="minor"/>
    </font>
    <font>
      <sz val="11"/>
      <color theme="1"/>
      <name val="仿宋"/>
      <charset val="134"/>
    </font>
    <font>
      <b/>
      <sz val="10.5"/>
      <color rgb="FFFF0000"/>
      <name val="仿宋"/>
      <charset val="134"/>
    </font>
    <font>
      <b/>
      <sz val="10.5"/>
      <color theme="1"/>
      <name val="仿宋"/>
      <charset val="134"/>
    </font>
    <font>
      <b/>
      <sz val="11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0070C0"/>
      <name val="仿宋"/>
      <charset val="134"/>
    </font>
    <font>
      <b/>
      <sz val="11"/>
      <color rgb="FF0070C0"/>
      <name val="仿宋"/>
      <charset val="134"/>
    </font>
    <font>
      <b/>
      <sz val="11"/>
      <color theme="4" tint="-0.25"/>
      <name val="仿宋"/>
      <charset val="134"/>
    </font>
    <font>
      <b/>
      <sz val="10.5"/>
      <color rgb="FF00B050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6" fillId="0" borderId="0" xfId="0" applyFont="1" applyBorder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70C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32"/>
  <sheetViews>
    <sheetView tabSelected="1" zoomScale="85" zoomScaleNormal="85" workbookViewId="0">
      <selection activeCell="L4" sqref="L4"/>
    </sheetView>
  </sheetViews>
  <sheetFormatPr defaultColWidth="9" defaultRowHeight="14.4" outlineLevelCol="7"/>
  <cols>
    <col min="1" max="1" width="6.09259259259259" style="2" customWidth="1"/>
    <col min="2" max="2" width="14.8796296296296" style="2" customWidth="1"/>
    <col min="3" max="3" width="57.3796296296296" style="2" customWidth="1"/>
    <col min="4" max="4" width="16.7037037037037" style="2" customWidth="1"/>
    <col min="5" max="5" width="21.7777777777778" customWidth="1"/>
    <col min="6" max="6" width="26.3703703703704" customWidth="1"/>
    <col min="7" max="7" width="19.6666666666667" customWidth="1"/>
    <col min="8" max="8" width="18.3055555555556" customWidth="1"/>
    <col min="9" max="13" width="16.75" customWidth="1"/>
  </cols>
  <sheetData>
    <row r="1" customFormat="1" ht="43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customFormat="1" ht="28.8" spans="1:8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7" t="s">
        <v>6</v>
      </c>
      <c r="G2" s="7" t="s">
        <v>7</v>
      </c>
      <c r="H2" s="8" t="s">
        <v>8</v>
      </c>
    </row>
    <row r="3" customFormat="1" ht="107" customHeight="1" spans="1:8">
      <c r="A3" s="4">
        <v>1</v>
      </c>
      <c r="B3" s="9" t="s">
        <v>9</v>
      </c>
      <c r="C3" s="10" t="s">
        <v>10</v>
      </c>
      <c r="D3" s="11" t="s">
        <v>11</v>
      </c>
      <c r="E3" s="9">
        <v>135</v>
      </c>
      <c r="F3" s="12"/>
      <c r="G3" s="8">
        <v>3</v>
      </c>
      <c r="H3" s="13" t="s">
        <v>12</v>
      </c>
    </row>
    <row r="4" customFormat="1" ht="128" customHeight="1" spans="1:8">
      <c r="A4" s="4"/>
      <c r="B4" s="9" t="s">
        <v>13</v>
      </c>
      <c r="C4" s="10" t="s">
        <v>14</v>
      </c>
      <c r="D4" s="11" t="s">
        <v>11</v>
      </c>
      <c r="E4" s="9">
        <v>135</v>
      </c>
      <c r="F4" s="12"/>
      <c r="G4" s="8">
        <v>3</v>
      </c>
      <c r="H4" s="13" t="s">
        <v>15</v>
      </c>
    </row>
    <row r="5" customFormat="1" ht="145" customHeight="1" spans="1:8">
      <c r="A5" s="4">
        <v>2</v>
      </c>
      <c r="B5" s="9" t="s">
        <v>16</v>
      </c>
      <c r="C5" s="14" t="s">
        <v>17</v>
      </c>
      <c r="D5" s="11" t="s">
        <v>18</v>
      </c>
      <c r="E5" s="15">
        <v>120</v>
      </c>
      <c r="F5" s="16"/>
      <c r="G5" s="8">
        <v>3</v>
      </c>
      <c r="H5" s="13" t="s">
        <v>19</v>
      </c>
    </row>
    <row r="6" customFormat="1" ht="107" customHeight="1" spans="1:8">
      <c r="A6" s="4">
        <v>3</v>
      </c>
      <c r="B6" s="9" t="s">
        <v>20</v>
      </c>
      <c r="C6" s="17" t="s">
        <v>21</v>
      </c>
      <c r="D6" s="11" t="s">
        <v>18</v>
      </c>
      <c r="E6" s="8">
        <v>120</v>
      </c>
      <c r="F6" s="16"/>
      <c r="G6" s="8">
        <v>3</v>
      </c>
      <c r="H6" s="13" t="s">
        <v>22</v>
      </c>
    </row>
    <row r="7" customFormat="1" ht="290" customHeight="1" spans="1:8">
      <c r="A7" s="4">
        <v>4</v>
      </c>
      <c r="B7" s="9" t="s">
        <v>23</v>
      </c>
      <c r="C7" s="17" t="s">
        <v>24</v>
      </c>
      <c r="D7" s="11" t="str">
        <f>"直巷"&amp;529&amp;"m"</f>
        <v>直巷529m</v>
      </c>
      <c r="E7" s="18">
        <v>255</v>
      </c>
      <c r="F7" s="19">
        <v>3520</v>
      </c>
      <c r="G7" s="16"/>
      <c r="H7" s="13" t="s">
        <v>25</v>
      </c>
    </row>
    <row r="8" customFormat="1" ht="109" customHeight="1" spans="1:8">
      <c r="A8" s="4">
        <v>5</v>
      </c>
      <c r="B8" s="9" t="s">
        <v>26</v>
      </c>
      <c r="C8" s="17" t="s">
        <v>27</v>
      </c>
      <c r="D8" s="11" t="s">
        <v>28</v>
      </c>
      <c r="E8" s="20"/>
      <c r="F8" s="21"/>
      <c r="G8" s="16"/>
      <c r="H8" s="13" t="s">
        <v>29</v>
      </c>
    </row>
    <row r="9" customFormat="1" ht="75" customHeight="1" spans="1:8">
      <c r="A9" s="4">
        <v>6</v>
      </c>
      <c r="B9" s="9" t="s">
        <v>30</v>
      </c>
      <c r="C9" s="14" t="s">
        <v>31</v>
      </c>
      <c r="D9" s="11" t="s">
        <v>28</v>
      </c>
      <c r="E9" s="20"/>
      <c r="F9" s="21"/>
      <c r="G9" s="16"/>
      <c r="H9" s="13" t="s">
        <v>32</v>
      </c>
    </row>
    <row r="10" customFormat="1" ht="154" customHeight="1" spans="1:8">
      <c r="A10" s="4">
        <v>7</v>
      </c>
      <c r="B10" s="9" t="s">
        <v>33</v>
      </c>
      <c r="C10" s="14" t="s">
        <v>34</v>
      </c>
      <c r="D10" s="11" t="s">
        <v>35</v>
      </c>
      <c r="E10" s="22"/>
      <c r="F10" s="21"/>
      <c r="G10" s="16"/>
      <c r="H10" s="13" t="s">
        <v>36</v>
      </c>
    </row>
    <row r="11" customFormat="1" ht="91" customHeight="1" spans="1:8">
      <c r="A11" s="4">
        <v>8</v>
      </c>
      <c r="B11" s="9" t="s">
        <v>37</v>
      </c>
      <c r="C11" s="14" t="s">
        <v>38</v>
      </c>
      <c r="D11" s="9" t="s">
        <v>28</v>
      </c>
      <c r="E11" s="23"/>
      <c r="F11" s="16"/>
      <c r="G11" s="16"/>
      <c r="H11" s="13" t="s">
        <v>39</v>
      </c>
    </row>
    <row r="12" customFormat="1" ht="38" customHeight="1" spans="1:8">
      <c r="A12" s="4">
        <v>9</v>
      </c>
      <c r="B12" s="9" t="s">
        <v>40</v>
      </c>
      <c r="C12" s="14" t="s">
        <v>41</v>
      </c>
      <c r="D12" s="9"/>
      <c r="E12" s="23"/>
      <c r="F12" s="16"/>
      <c r="G12" s="16"/>
      <c r="H12" s="24" t="s">
        <v>42</v>
      </c>
    </row>
    <row r="13" customFormat="1" ht="32" customHeight="1" spans="1:8">
      <c r="A13" s="4">
        <v>10</v>
      </c>
      <c r="B13" s="9" t="s">
        <v>43</v>
      </c>
      <c r="C13" s="14" t="s">
        <v>44</v>
      </c>
      <c r="D13" s="9"/>
      <c r="E13" s="23"/>
      <c r="F13" s="16"/>
      <c r="G13" s="16"/>
      <c r="H13" s="24" t="s">
        <v>42</v>
      </c>
    </row>
    <row r="14" customFormat="1" ht="34" customHeight="1" spans="1:8">
      <c r="A14" s="4">
        <v>11</v>
      </c>
      <c r="B14" s="9" t="s">
        <v>45</v>
      </c>
      <c r="C14" s="14" t="s">
        <v>46</v>
      </c>
      <c r="D14" s="9"/>
      <c r="E14" s="23"/>
      <c r="F14" s="16"/>
      <c r="G14" s="16"/>
      <c r="H14" s="24" t="s">
        <v>42</v>
      </c>
    </row>
    <row r="15" customFormat="1" ht="42" customHeight="1" spans="1:8">
      <c r="A15" s="4">
        <v>12</v>
      </c>
      <c r="B15" s="9" t="s">
        <v>47</v>
      </c>
      <c r="C15" s="14" t="s">
        <v>48</v>
      </c>
      <c r="D15" s="9"/>
      <c r="E15" s="23"/>
      <c r="F15" s="16"/>
      <c r="G15" s="16"/>
      <c r="H15" s="24" t="s">
        <v>42</v>
      </c>
    </row>
    <row r="16" customFormat="1" ht="42" customHeight="1" spans="1:8">
      <c r="A16" s="4">
        <v>13</v>
      </c>
      <c r="B16" s="9" t="s">
        <v>49</v>
      </c>
      <c r="C16" s="25" t="s">
        <v>50</v>
      </c>
      <c r="D16" s="9"/>
      <c r="E16" s="23"/>
      <c r="F16" s="16"/>
      <c r="G16" s="16"/>
      <c r="H16" s="24" t="s">
        <v>42</v>
      </c>
    </row>
    <row r="17" customFormat="1" ht="55" customHeight="1" spans="1:8">
      <c r="A17" s="26">
        <v>14</v>
      </c>
      <c r="B17" s="26" t="s">
        <v>51</v>
      </c>
      <c r="C17" s="18" t="s">
        <v>52</v>
      </c>
      <c r="D17" s="26"/>
      <c r="E17" s="27"/>
      <c r="F17" s="27"/>
      <c r="G17" s="27"/>
      <c r="H17" s="13" t="s">
        <v>53</v>
      </c>
    </row>
    <row r="18" s="1" customFormat="1" ht="28" customHeight="1" spans="1:8">
      <c r="A18" s="28" t="s">
        <v>54</v>
      </c>
      <c r="B18" s="28"/>
      <c r="C18" s="28"/>
      <c r="D18" s="28"/>
      <c r="E18" s="27" t="str">
        <f>"应力孔"&amp;SUM(E3:E15)&amp;"m"</f>
        <v>应力孔765m</v>
      </c>
      <c r="F18" s="27" t="str">
        <f>"大直径卸压孔"&amp;SUM(F3:F15)&amp;"m"</f>
        <v>大直径卸压孔3520m</v>
      </c>
      <c r="G18" s="27" t="str">
        <f>"专用锚杆"&amp;SUM(G3:G15)&amp;"根"</f>
        <v>专用锚杆12根</v>
      </c>
      <c r="H18" s="29" t="s">
        <v>55</v>
      </c>
    </row>
    <row r="19" s="1" customFormat="1" ht="28" customHeight="1" spans="1:8">
      <c r="A19" s="30" t="s">
        <v>56</v>
      </c>
      <c r="B19" s="30"/>
      <c r="C19" s="30"/>
      <c r="D19" s="30"/>
      <c r="E19" s="30" t="s">
        <v>57</v>
      </c>
      <c r="F19" s="30" t="s">
        <v>58</v>
      </c>
      <c r="G19" s="30" t="s">
        <v>59</v>
      </c>
      <c r="H19" s="31"/>
    </row>
    <row r="20" s="1" customFormat="1" ht="28" customHeight="1" spans="1:8">
      <c r="A20" s="32" t="s">
        <v>60</v>
      </c>
      <c r="B20" s="32"/>
      <c r="C20" s="32"/>
      <c r="D20" s="32"/>
      <c r="E20" s="32"/>
      <c r="F20" s="32"/>
      <c r="G20" s="32"/>
    </row>
    <row r="21" s="1" customFormat="1" ht="97" customHeight="1" spans="1:8">
      <c r="A21" s="33"/>
      <c r="B21" s="33"/>
      <c r="C21" s="34"/>
      <c r="D21" s="35"/>
      <c r="E21" s="36"/>
      <c r="F21" s="37"/>
    </row>
    <row r="22" s="1" customFormat="1" ht="28" customHeight="1" spans="1:8">
      <c r="A22" s="33"/>
      <c r="B22" s="33"/>
      <c r="C22" s="34"/>
      <c r="D22" s="35"/>
      <c r="E22" s="38"/>
    </row>
    <row r="23" s="1" customFormat="1" ht="28" customHeight="1" spans="1:8">
      <c r="A23" s="33"/>
      <c r="B23" s="33"/>
      <c r="C23" s="39"/>
      <c r="D23" s="35"/>
      <c r="E23" s="38"/>
    </row>
    <row r="24" s="1" customFormat="1" ht="28" customHeight="1" spans="1:8">
      <c r="A24" s="33"/>
      <c r="B24" s="33"/>
      <c r="C24" s="40"/>
      <c r="D24" s="41"/>
      <c r="E24" s="38"/>
    </row>
    <row r="25" s="1" customFormat="1" ht="28" customHeight="1" spans="1:8">
      <c r="A25" s="33"/>
      <c r="B25" s="33"/>
      <c r="C25" s="40"/>
      <c r="D25" s="41"/>
      <c r="E25" s="38"/>
    </row>
    <row r="26" s="1" customFormat="1" ht="28" customHeight="1" spans="1:8">
      <c r="A26" s="33"/>
      <c r="B26" s="33"/>
      <c r="C26" s="40"/>
      <c r="D26" s="41"/>
      <c r="E26" s="38"/>
    </row>
    <row r="27" s="1" customFormat="1" ht="28" customHeight="1" spans="1:8">
      <c r="A27" s="33"/>
      <c r="B27" s="33"/>
      <c r="C27" s="40"/>
      <c r="D27" s="42"/>
      <c r="E27" s="38"/>
    </row>
    <row r="28" s="1" customFormat="1" ht="28" customHeight="1" spans="1:8">
      <c r="A28" s="33"/>
      <c r="B28" s="33"/>
      <c r="C28" s="40"/>
      <c r="D28" s="42"/>
      <c r="E28" s="38"/>
    </row>
    <row r="29" s="1" customFormat="1" ht="28" customHeight="1" spans="1:8">
      <c r="A29" s="33"/>
      <c r="B29" s="33"/>
      <c r="C29" s="43"/>
      <c r="D29" s="44"/>
      <c r="E29" s="38"/>
    </row>
    <row r="30" customFormat="1" ht="28" customHeight="1" spans="1:8">
      <c r="A30" s="45"/>
      <c r="B30" s="45"/>
      <c r="C30" s="45"/>
      <c r="D30" s="45"/>
    </row>
    <row r="31" ht="28" customHeight="1"/>
    <row r="32" ht="28" customHeight="1"/>
  </sheetData>
  <mergeCells count="6">
    <mergeCell ref="A1:H1"/>
    <mergeCell ref="A18:D18"/>
    <mergeCell ref="A19:D19"/>
    <mergeCell ref="A20:G20"/>
    <mergeCell ref="A30:D30"/>
    <mergeCell ref="H18:H19"/>
  </mergeCells>
  <pageMargins left="0.75" right="0.75" top="1" bottom="1" header="0.5" footer="0.5"/>
  <pageSetup paperSize="9" scale="48" fitToHeight="0" orientation="portrait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2026年4月计划  (以工作面划分)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AXA</dc:creator>
  <cp:lastModifiedBy>义薄云天</cp:lastModifiedBy>
  <dcterms:created xsi:type="dcterms:W3CDTF">2025-03-22T11:44:00Z</dcterms:created>
  <dcterms:modified xsi:type="dcterms:W3CDTF">2026-06-01T23:38:19Z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551985B337114BEE820A82BF14C3907B_13</vt:lpwstr>
  </property>
  <property fmtid="{D5CDD505-2E9C-101B-9397-08002B2CF9AE}" pid="4" name="CalculationRule">
    <vt:i4>0</vt:i4>
  </property>
</Properties>
</file>