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 activeTab="1"/>
  </bookViews>
  <sheets>
    <sheet name="汇总表" sheetId="1" r:id="rId1"/>
    <sheet name="工资表" sheetId="2" r:id="rId2"/>
    <sheet name="附件（专项奖励，个人罚款。其他津补贴）" sheetId="3" r:id="rId3"/>
    <sheet name="个人绩效考核及二次分配" sheetId="4" r:id="rId4"/>
  </sheets>
  <definedNames>
    <definedName name="_xlnm._FilterDatabase" localSheetId="1" hidden="1">工资表!A1:AO92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<sst xmlns="http://schemas.openxmlformats.org/spreadsheetml/2006/main" count="6970" uniqueCount="228">
  <si>
    <t/>
  </si>
  <si>
    <t xml:space="preserve">陕西延长石油巴拉素煤业有限公司（防冲队）  2026  年 5 月份工资汇总表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</si>
  <si>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单位：元</t>
  </si>
  <si>
    <t>序号</t>
  </si>
  <si>
    <t>部门</t>
  </si>
  <si>
    <t>人数</t>
  </si>
  <si>
    <t>出勤工数</t>
  </si>
  <si>
    <t>计时（计件）工资</t>
  </si>
  <si>
    <t>绩效工资</t>
  </si>
  <si>
    <t>评比奖罚</t>
  </si>
  <si>
    <t xml:space="preserve">加班   工资   </t>
  </si>
  <si>
    <t>假期工资</t>
  </si>
  <si>
    <t>津   （补）贴</t>
  </si>
  <si>
    <t>专项奖励</t>
  </si>
  <si>
    <t>补（扣）发工资</t>
  </si>
  <si>
    <t>工资应发</t>
  </si>
  <si>
    <t>代   扣   款</t>
  </si>
  <si>
    <t>个人所得税</t>
  </si>
  <si>
    <t>实发工资</t>
  </si>
  <si>
    <t>岗位绩效工资</t>
  </si>
  <si>
    <t>安全绩效工资</t>
  </si>
  <si>
    <t>超额工资</t>
  </si>
  <si>
    <t>其他</t>
  </si>
  <si>
    <t>工龄  津贴</t>
  </si>
  <si>
    <t>井下津贴</t>
  </si>
  <si>
    <t>夜班津贴</t>
  </si>
  <si>
    <t>技术/技能津贴</t>
  </si>
  <si>
    <t>洗理补贴</t>
  </si>
  <si>
    <t>小计</t>
  </si>
  <si>
    <t>社会保险</t>
  </si>
  <si>
    <t>住房公积金</t>
  </si>
  <si>
    <t>企业年金</t>
  </si>
  <si>
    <t>基本养老保险</t>
  </si>
  <si>
    <t>基本医疗保险</t>
  </si>
  <si>
    <t>失业保险</t>
  </si>
  <si>
    <t>管理人员</t>
  </si>
  <si>
    <t>操作人员</t>
  </si>
  <si>
    <t>总   计</t>
  </si>
  <si>
    <t>财务资产部复核：</t>
  </si>
  <si>
    <t>人力资源部审核：</t>
  </si>
  <si>
    <t>社保审核：</t>
  </si>
  <si>
    <t>分管副总：</t>
  </si>
  <si>
    <t>部门(区队）负责人：</t>
  </si>
  <si>
    <t>制表作资：</t>
  </si>
  <si>
    <t xml:space="preserve">巴拉素煤业公司（防冲队）  2026  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</si>
  <si>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月份工资表</t>
  </si>
  <si>
    <t xml:space="preserve">   单位（部门）：防冲队-管理</t>
  </si>
  <si>
    <t>制表日期：</t>
  </si>
  <si>
    <t>身份证号</t>
  </si>
  <si>
    <t>员工编号</t>
  </si>
  <si>
    <t>姓 名</t>
  </si>
  <si>
    <t>职务/岗位</t>
  </si>
  <si>
    <t>工资标准</t>
  </si>
  <si>
    <t>出勤 天数</t>
  </si>
  <si>
    <t>岗位基本工资收入</t>
  </si>
  <si>
    <t>绩效工资收入</t>
  </si>
  <si>
    <t>节假日加班工资</t>
  </si>
  <si>
    <t>津（补）贴</t>
  </si>
  <si>
    <t>补扣工资</t>
  </si>
  <si>
    <t>工资应发额</t>
  </si>
  <si>
    <t>扣  款</t>
  </si>
  <si>
    <t>实发          合计</t>
  </si>
  <si>
    <t>岗级</t>
  </si>
  <si>
    <t>岗级系数</t>
  </si>
  <si>
    <t>岗位基本工资</t>
  </si>
  <si>
    <t>计时  工资金额</t>
  </si>
  <si>
    <t>计件工资</t>
  </si>
  <si>
    <t>考核
得分</t>
  </si>
  <si>
    <t>超额 工资</t>
  </si>
  <si>
    <t>法定天数</t>
  </si>
  <si>
    <t>公休天数</t>
  </si>
  <si>
    <t>金额</t>
  </si>
  <si>
    <t>假别</t>
  </si>
  <si>
    <t>天数</t>
  </si>
  <si>
    <t>工龄津贴</t>
  </si>
  <si>
    <t>入井津贴</t>
  </si>
  <si>
    <t>技术（技能）津贴</t>
  </si>
  <si>
    <t>养老保险</t>
  </si>
  <si>
    <t>医疗保险</t>
  </si>
  <si>
    <t>井下</t>
  </si>
  <si>
    <t>地面</t>
  </si>
  <si>
    <t>分值</t>
  </si>
  <si>
    <t>工作年限</t>
  </si>
  <si>
    <t>前夜天数</t>
  </si>
  <si>
    <t>后夜天数</t>
  </si>
  <si>
    <t>防冲队</t>
  </si>
  <si>
    <t>612729198904012710</t>
  </si>
  <si>
    <t>005020094</t>
  </si>
  <si>
    <t>李玉超</t>
  </si>
  <si>
    <t>副队长（主持工作）</t>
  </si>
  <si>
    <t>130406198811150615</t>
  </si>
  <si>
    <t>005021298</t>
  </si>
  <si>
    <t>索橡伟</t>
  </si>
  <si>
    <t>副队长</t>
  </si>
  <si>
    <t>612729198902230917</t>
  </si>
  <si>
    <t>005020100</t>
  </si>
  <si>
    <t>王浩浩1</t>
  </si>
  <si>
    <t>140603198701163611</t>
  </si>
  <si>
    <t>005020972</t>
  </si>
  <si>
    <t>卢振国</t>
  </si>
  <si>
    <t>防冲技术员</t>
  </si>
  <si>
    <t>610524199112110056</t>
  </si>
  <si>
    <t>005021661</t>
  </si>
  <si>
    <t>范国玮</t>
  </si>
  <si>
    <t>管理人员小计</t>
  </si>
  <si>
    <t xml:space="preserve">   单位（部门）：防冲队-操作人员</t>
  </si>
  <si>
    <t>612701198910052034</t>
  </si>
  <si>
    <t>005021561</t>
  </si>
  <si>
    <t>白海涛</t>
  </si>
  <si>
    <t>钻探工（防冲工）</t>
  </si>
  <si>
    <t>612723199107142818</t>
  </si>
  <si>
    <t>005021560</t>
  </si>
  <si>
    <t>冯建邦</t>
  </si>
  <si>
    <t>142625199402060473</t>
  </si>
  <si>
    <t>005021094</t>
  </si>
  <si>
    <t>赵小康</t>
  </si>
  <si>
    <t>钻探工（防冲工）班长</t>
  </si>
  <si>
    <t>612727199103125418</t>
  </si>
  <si>
    <t>005021571</t>
  </si>
  <si>
    <t>贺红红</t>
  </si>
  <si>
    <t>612722199510021614</t>
  </si>
  <si>
    <t>005021692</t>
  </si>
  <si>
    <t>刘东</t>
  </si>
  <si>
    <t>安装维护工</t>
  </si>
  <si>
    <t>610422199205191416</t>
  </si>
  <si>
    <t>005021674</t>
  </si>
  <si>
    <t>郑圣迪</t>
  </si>
  <si>
    <t>612729200209043910</t>
  </si>
  <si>
    <t>005021230</t>
  </si>
  <si>
    <t>庄波波</t>
  </si>
  <si>
    <t>142325199501085530</t>
  </si>
  <si>
    <t>005021712</t>
  </si>
  <si>
    <t>曹栋</t>
  </si>
  <si>
    <t>61272920020926481X</t>
  </si>
  <si>
    <t>005021782</t>
  </si>
  <si>
    <t>高登峰</t>
  </si>
  <si>
    <t>612723199706098011</t>
  </si>
  <si>
    <t>00513507</t>
  </si>
  <si>
    <t>高帅</t>
  </si>
  <si>
    <t>612724199803010137</t>
  </si>
  <si>
    <t>005021229</t>
  </si>
  <si>
    <t>吴宏利</t>
  </si>
  <si>
    <t>610621199402130019</t>
  </si>
  <si>
    <t>005021720</t>
  </si>
  <si>
    <t>康强</t>
  </si>
  <si>
    <t>61272619910719211x</t>
  </si>
  <si>
    <t>005020853</t>
  </si>
  <si>
    <t>姜鹏</t>
  </si>
  <si>
    <t>钻机检修工班长</t>
  </si>
  <si>
    <t>612729199502043615</t>
  </si>
  <si>
    <t>005020560</t>
  </si>
  <si>
    <t>王宇宇</t>
  </si>
  <si>
    <t>612729198807051515</t>
  </si>
  <si>
    <t>005021003</t>
  </si>
  <si>
    <t>王锦卫2</t>
  </si>
  <si>
    <t>612732199808010339</t>
  </si>
  <si>
    <t>005021770</t>
  </si>
  <si>
    <t>邓小宇</t>
  </si>
  <si>
    <t>612723200102167237</t>
  </si>
  <si>
    <t>005021233</t>
  </si>
  <si>
    <t>张浩3</t>
  </si>
  <si>
    <t>612724200104080617</t>
  </si>
  <si>
    <t>005021235</t>
  </si>
  <si>
    <t>何雨桂</t>
  </si>
  <si>
    <t>612724199508030418</t>
  </si>
  <si>
    <t>005020364</t>
  </si>
  <si>
    <t>白成瑞</t>
  </si>
  <si>
    <t>610425199912010230</t>
  </si>
  <si>
    <t>005021813</t>
  </si>
  <si>
    <t>李治嘉</t>
  </si>
  <si>
    <t>本页小计</t>
  </si>
  <si>
    <t>612724199811120117</t>
  </si>
  <si>
    <t>00513801</t>
  </si>
  <si>
    <t>顾兴毅</t>
  </si>
  <si>
    <t>612730199610091310</t>
  </si>
  <si>
    <t>005021714</t>
  </si>
  <si>
    <t>薛鹏鹏</t>
  </si>
  <si>
    <t>61273219921012303X</t>
  </si>
  <si>
    <t>005020338</t>
  </si>
  <si>
    <t>刘权</t>
  </si>
  <si>
    <t>612724199212300116</t>
  </si>
  <si>
    <t>005021430</t>
  </si>
  <si>
    <t>王伟1</t>
  </si>
  <si>
    <t>612725199105105039</t>
  </si>
  <si>
    <t>005021573</t>
  </si>
  <si>
    <t>全伟伟</t>
  </si>
  <si>
    <t>612729200203015716</t>
  </si>
  <si>
    <t>005021724</t>
  </si>
  <si>
    <t>高凡龙</t>
  </si>
  <si>
    <t>操作人员合计</t>
  </si>
  <si>
    <t>合    计</t>
  </si>
  <si>
    <t>2025年9月份奖罚及其他津补贴</t>
  </si>
  <si>
    <t>其他津补贴</t>
  </si>
  <si>
    <t>人员编码</t>
  </si>
  <si>
    <t>姓名</t>
  </si>
  <si>
    <t>职务</t>
  </si>
  <si>
    <t>奖励合计</t>
  </si>
  <si>
    <t>井下跟班
补助</t>
  </si>
  <si>
    <t>值班
（各部门/区队）</t>
  </si>
  <si>
    <t>其他津补贴合计</t>
  </si>
  <si>
    <t>005021140</t>
  </si>
  <si>
    <t>张海鹏</t>
  </si>
  <si>
    <t>队长</t>
  </si>
  <si>
    <t>王浩浩</t>
  </si>
  <si>
    <t>005021562</t>
  </si>
  <si>
    <t>白高云</t>
  </si>
  <si>
    <t>005021566</t>
  </si>
  <si>
    <t>郝艳斌</t>
  </si>
  <si>
    <t>005021572</t>
  </si>
  <si>
    <t>高康</t>
  </si>
  <si>
    <t>005021228</t>
  </si>
  <si>
    <t>张鹏2</t>
  </si>
  <si>
    <t>005020988</t>
  </si>
  <si>
    <t>张伟2</t>
  </si>
  <si>
    <t>合计</t>
  </si>
  <si>
    <t>附件2：</t>
  </si>
  <si>
    <t>防冲队 4月份管理干部个人绩效考核得分及二次分配表</t>
  </si>
  <si>
    <t>二次分配</t>
  </si>
  <si>
    <t>备注</t>
  </si>
  <si>
    <t>应得
工分</t>
  </si>
  <si>
    <t>工分单价</t>
  </si>
  <si>
    <t>个人绩效
考核得分</t>
  </si>
  <si>
    <t>实得
工分</t>
  </si>
  <si>
    <t>被考核金额</t>
  </si>
  <si>
    <t>二次分配
金额</t>
  </si>
  <si>
    <t>/</t>
  </si>
  <si>
    <t>单位负责人：</t>
  </si>
  <si>
    <t>绩效考核管理员：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</si>
</sst>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R14"/>
  <sheetViews>
    <sheetView workbookViewId="0">
      <selection activeCell="A1" sqref="A1"/>
    </sheetView>
  </sheetViews>
  <sheetFormatPr defaultColWidth="9" defaultRowHeight="15.6"/>
  <sheetData>
    <row r="1" spans="1:226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  <c r="GH1" t="s">
        <v>0</v>
      </c>
      <c r="GI1" t="s">
        <v>0</v>
      </c>
      <c r="GJ1" t="s">
        <v>0</v>
      </c>
      <c r="GK1" t="s">
        <v>0</v>
      </c>
      <c r="GL1" t="s">
        <v>0</v>
      </c>
      <c r="GM1" t="s">
        <v>0</v>
      </c>
      <c r="GN1" t="s">
        <v>0</v>
      </c>
      <c r="GO1" t="s">
        <v>0</v>
      </c>
      <c r="GP1" t="s">
        <v>0</v>
      </c>
      <c r="GQ1" t="s">
        <v>0</v>
      </c>
      <c r="GR1" t="s">
        <v>0</v>
      </c>
      <c r="GS1" t="s">
        <v>0</v>
      </c>
      <c r="GT1" t="s">
        <v>0</v>
      </c>
      <c r="GU1" t="s">
        <v>0</v>
      </c>
      <c r="GV1" t="s">
        <v>0</v>
      </c>
      <c r="GW1" t="s">
        <v>0</v>
      </c>
      <c r="GX1" t="s">
        <v>0</v>
      </c>
      <c r="GY1" t="s">
        <v>0</v>
      </c>
      <c r="GZ1" t="s">
        <v>0</v>
      </c>
      <c r="HA1" t="s">
        <v>0</v>
      </c>
      <c r="HB1" t="s">
        <v>0</v>
      </c>
      <c r="HC1" t="s">
        <v>0</v>
      </c>
      <c r="HD1" t="s">
        <v>0</v>
      </c>
      <c r="HE1" t="s">
        <v>0</v>
      </c>
      <c r="HF1" t="s">
        <v>0</v>
      </c>
      <c r="HG1" t="s">
        <v>0</v>
      </c>
      <c r="HH1" t="s">
        <v>0</v>
      </c>
      <c r="HI1" t="s">
        <v>0</v>
      </c>
      <c r="HJ1" t="s">
        <v>0</v>
      </c>
      <c r="HK1" t="s">
        <v>0</v>
      </c>
      <c r="HL1" t="s">
        <v>0</v>
      </c>
      <c r="HM1" t="s">
        <v>0</v>
      </c>
      <c r="HN1" t="s">
        <v>0</v>
      </c>
      <c r="HO1" t="s">
        <v>0</v>
      </c>
      <c r="HP1" t="s">
        <v>0</v>
      </c>
      <c r="HQ1" t="s">
        <v>0</v>
      </c>
      <c r="HR1" t="s">
        <v>0</v>
      </c>
    </row>
    <row r="2" spans="1:226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</row>
    <row r="3" spans="1:226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2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  <c r="EM3" t="s">
        <v>0</v>
      </c>
      <c r="EN3" t="s">
        <v>0</v>
      </c>
      <c r="EO3" t="s">
        <v>0</v>
      </c>
      <c r="EP3" t="s">
        <v>0</v>
      </c>
      <c r="EQ3" t="s">
        <v>0</v>
      </c>
      <c r="ER3" t="s">
        <v>0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 t="s">
        <v>0</v>
      </c>
      <c r="GP3" t="s">
        <v>0</v>
      </c>
      <c r="GQ3" t="s">
        <v>0</v>
      </c>
      <c r="GR3" t="s">
        <v>0</v>
      </c>
      <c r="GS3" t="s">
        <v>0</v>
      </c>
      <c r="GT3" t="s">
        <v>0</v>
      </c>
      <c r="GU3" t="s">
        <v>0</v>
      </c>
      <c r="GV3" t="s">
        <v>0</v>
      </c>
      <c r="GW3" t="s">
        <v>0</v>
      </c>
      <c r="GX3" t="s">
        <v>0</v>
      </c>
      <c r="GY3" t="s">
        <v>0</v>
      </c>
      <c r="GZ3" t="s">
        <v>0</v>
      </c>
      <c r="HA3" t="s">
        <v>0</v>
      </c>
      <c r="HB3" t="s">
        <v>0</v>
      </c>
      <c r="HC3" t="s">
        <v>0</v>
      </c>
      <c r="HD3" t="s">
        <v>0</v>
      </c>
      <c r="HE3" t="s">
        <v>0</v>
      </c>
      <c r="HF3" t="s">
        <v>0</v>
      </c>
      <c r="HG3" t="s">
        <v>0</v>
      </c>
      <c r="HH3" t="s">
        <v>0</v>
      </c>
      <c r="HI3" t="s">
        <v>0</v>
      </c>
      <c r="HJ3" t="s">
        <v>0</v>
      </c>
      <c r="HK3" t="s">
        <v>0</v>
      </c>
      <c r="HL3" t="s">
        <v>0</v>
      </c>
      <c r="HM3" t="s">
        <v>0</v>
      </c>
      <c r="HN3" t="s">
        <v>0</v>
      </c>
      <c r="HO3" t="s">
        <v>0</v>
      </c>
      <c r="HP3" t="s">
        <v>0</v>
      </c>
      <c r="HQ3" t="s">
        <v>0</v>
      </c>
      <c r="HR3" t="s">
        <v>0</v>
      </c>
    </row>
    <row r="4" spans="1:226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0</v>
      </c>
      <c r="H4" t="s">
        <v>9</v>
      </c>
      <c r="I4" t="s">
        <v>0</v>
      </c>
      <c r="J4" t="s">
        <v>10</v>
      </c>
      <c r="K4" t="s">
        <v>11</v>
      </c>
      <c r="L4" t="s">
        <v>12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13</v>
      </c>
      <c r="S4" t="s">
        <v>14</v>
      </c>
      <c r="T4" t="s">
        <v>15</v>
      </c>
      <c r="U4" t="s">
        <v>16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17</v>
      </c>
      <c r="AB4" t="s">
        <v>18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  <c r="EM4" t="s">
        <v>0</v>
      </c>
      <c r="EN4" t="s">
        <v>0</v>
      </c>
      <c r="EO4" t="s">
        <v>0</v>
      </c>
      <c r="EP4" t="s">
        <v>0</v>
      </c>
      <c r="EQ4" t="s">
        <v>0</v>
      </c>
      <c r="ER4" t="s">
        <v>0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 t="s">
        <v>0</v>
      </c>
      <c r="GQ4" t="s">
        <v>0</v>
      </c>
      <c r="GR4" t="s">
        <v>0</v>
      </c>
      <c r="GS4" t="s">
        <v>0</v>
      </c>
      <c r="GT4" t="s">
        <v>0</v>
      </c>
      <c r="GU4" t="s">
        <v>0</v>
      </c>
      <c r="GV4" t="s">
        <v>0</v>
      </c>
      <c r="GW4" t="s">
        <v>0</v>
      </c>
      <c r="GX4" t="s">
        <v>0</v>
      </c>
      <c r="GY4" t="s">
        <v>0</v>
      </c>
      <c r="GZ4" t="s">
        <v>0</v>
      </c>
      <c r="HA4" t="s">
        <v>0</v>
      </c>
      <c r="HB4" t="s">
        <v>0</v>
      </c>
      <c r="HC4" t="s">
        <v>0</v>
      </c>
      <c r="HD4" t="s">
        <v>0</v>
      </c>
      <c r="HE4" t="s">
        <v>0</v>
      </c>
      <c r="HF4" t="s">
        <v>0</v>
      </c>
      <c r="HG4" t="s">
        <v>0</v>
      </c>
      <c r="HH4" t="s">
        <v>0</v>
      </c>
      <c r="HI4" t="s">
        <v>0</v>
      </c>
      <c r="HJ4" t="s">
        <v>0</v>
      </c>
      <c r="HK4" t="s">
        <v>0</v>
      </c>
      <c r="HL4" t="s">
        <v>0</v>
      </c>
      <c r="HM4" t="s">
        <v>0</v>
      </c>
      <c r="HN4" t="s">
        <v>0</v>
      </c>
      <c r="HO4" t="s">
        <v>0</v>
      </c>
      <c r="HP4" t="s">
        <v>0</v>
      </c>
      <c r="HQ4" t="s">
        <v>0</v>
      </c>
      <c r="HR4" t="s">
        <v>0</v>
      </c>
    </row>
    <row r="5" spans="1:226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19</v>
      </c>
      <c r="G5" t="s">
        <v>20</v>
      </c>
      <c r="H5" t="s">
        <v>21</v>
      </c>
      <c r="I5" t="s">
        <v>22</v>
      </c>
      <c r="J5" t="s">
        <v>0</v>
      </c>
      <c r="K5" t="s">
        <v>0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0</v>
      </c>
      <c r="S5" t="s">
        <v>0</v>
      </c>
      <c r="T5" t="s">
        <v>0</v>
      </c>
      <c r="U5" t="s">
        <v>29</v>
      </c>
      <c r="V5" t="s">
        <v>0</v>
      </c>
      <c r="W5" t="s">
        <v>0</v>
      </c>
      <c r="X5" t="s">
        <v>30</v>
      </c>
      <c r="Y5" t="s">
        <v>31</v>
      </c>
      <c r="Z5" t="s">
        <v>28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  <c r="EM5" t="s">
        <v>0</v>
      </c>
      <c r="EN5" t="s">
        <v>0</v>
      </c>
      <c r="EO5" t="s">
        <v>0</v>
      </c>
      <c r="EP5" t="s">
        <v>0</v>
      </c>
      <c r="EQ5" t="s">
        <v>0</v>
      </c>
      <c r="ER5" t="s">
        <v>0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  <c r="GS5" t="s">
        <v>0</v>
      </c>
      <c r="GT5" t="s">
        <v>0</v>
      </c>
      <c r="GU5" t="s">
        <v>0</v>
      </c>
      <c r="GV5" t="s">
        <v>0</v>
      </c>
      <c r="GW5" t="s">
        <v>0</v>
      </c>
      <c r="GX5" t="s">
        <v>0</v>
      </c>
      <c r="GY5" t="s">
        <v>0</v>
      </c>
      <c r="GZ5" t="s">
        <v>0</v>
      </c>
      <c r="HA5" t="s">
        <v>0</v>
      </c>
      <c r="HB5" t="s">
        <v>0</v>
      </c>
      <c r="HC5" t="s">
        <v>0</v>
      </c>
      <c r="HD5" t="s">
        <v>0</v>
      </c>
      <c r="HE5" t="s">
        <v>0</v>
      </c>
      <c r="HF5" t="s">
        <v>0</v>
      </c>
      <c r="HG5" t="s">
        <v>0</v>
      </c>
      <c r="HH5" t="s">
        <v>0</v>
      </c>
      <c r="HI5" t="s">
        <v>0</v>
      </c>
      <c r="HJ5" t="s">
        <v>0</v>
      </c>
      <c r="HK5" t="s">
        <v>0</v>
      </c>
      <c r="HL5" t="s">
        <v>0</v>
      </c>
      <c r="HM5" t="s">
        <v>0</v>
      </c>
      <c r="HN5" t="s">
        <v>0</v>
      </c>
      <c r="HO5" t="s">
        <v>0</v>
      </c>
      <c r="HP5" t="s">
        <v>0</v>
      </c>
      <c r="HQ5" t="s">
        <v>0</v>
      </c>
      <c r="HR5" t="s">
        <v>0</v>
      </c>
    </row>
    <row r="6" spans="1:226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32</v>
      </c>
      <c r="V6" t="s">
        <v>33</v>
      </c>
      <c r="W6" t="s">
        <v>34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  <c r="GS6" t="s">
        <v>0</v>
      </c>
      <c r="GT6" t="s">
        <v>0</v>
      </c>
      <c r="GU6" t="s">
        <v>0</v>
      </c>
      <c r="GV6" t="s">
        <v>0</v>
      </c>
      <c r="GW6" t="s">
        <v>0</v>
      </c>
      <c r="GX6" t="s">
        <v>0</v>
      </c>
      <c r="GY6" t="s">
        <v>0</v>
      </c>
      <c r="GZ6" t="s">
        <v>0</v>
      </c>
      <c r="HA6" t="s">
        <v>0</v>
      </c>
      <c r="HB6" t="s">
        <v>0</v>
      </c>
      <c r="HC6" t="s">
        <v>0</v>
      </c>
      <c r="HD6" t="s">
        <v>0</v>
      </c>
      <c r="HE6" t="s">
        <v>0</v>
      </c>
      <c r="HF6" t="s">
        <v>0</v>
      </c>
      <c r="HG6" t="s">
        <v>0</v>
      </c>
      <c r="HH6" t="s">
        <v>0</v>
      </c>
      <c r="HI6" t="s">
        <v>0</v>
      </c>
      <c r="HJ6" t="s">
        <v>0</v>
      </c>
      <c r="HK6" t="s">
        <v>0</v>
      </c>
      <c r="HL6" t="s">
        <v>0</v>
      </c>
      <c r="HM6" t="s">
        <v>0</v>
      </c>
      <c r="HN6" t="s">
        <v>0</v>
      </c>
      <c r="HO6" t="s">
        <v>0</v>
      </c>
      <c r="HP6" t="s">
        <v>0</v>
      </c>
      <c r="HQ6" t="s">
        <v>0</v>
      </c>
      <c r="HR6" t="s">
        <v>0</v>
      </c>
    </row>
    <row r="7" spans="1:226">
      <c r="A7">
        <v>1</v>
      </c>
      <c r="B7" t="s">
        <v>35</v>
      </c>
      <c r="C7">
        <v>5</v>
      </c>
      <c r="D7">
        <v>130</v>
      </c>
      <c r="E7">
        <v>715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1160</v>
      </c>
      <c r="M7">
        <v>0</v>
      </c>
      <c r="N7">
        <v>0</v>
      </c>
      <c r="O7">
        <v>1200</v>
      </c>
      <c r="P7">
        <v>300</v>
      </c>
      <c r="Q7">
        <v>2660</v>
      </c>
      <c r="R7">
        <v>0</v>
      </c>
      <c r="S7">
        <v>0</v>
      </c>
      <c r="T7">
        <v>2660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2660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  <c r="EM7" t="s">
        <v>0</v>
      </c>
      <c r="EN7" t="s">
        <v>0</v>
      </c>
      <c r="EO7" t="s">
        <v>0</v>
      </c>
      <c r="EP7" t="s">
        <v>0</v>
      </c>
      <c r="EQ7" t="s">
        <v>0</v>
      </c>
      <c r="ER7" t="s">
        <v>0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  <c r="GS7" t="s">
        <v>0</v>
      </c>
      <c r="GT7" t="s">
        <v>0</v>
      </c>
      <c r="GU7" t="s">
        <v>0</v>
      </c>
      <c r="GV7" t="s">
        <v>0</v>
      </c>
      <c r="GW7" t="s">
        <v>0</v>
      </c>
      <c r="GX7" t="s">
        <v>0</v>
      </c>
      <c r="GY7" t="s">
        <v>0</v>
      </c>
      <c r="GZ7" t="s">
        <v>0</v>
      </c>
      <c r="HA7" t="s">
        <v>0</v>
      </c>
      <c r="HB7" t="s">
        <v>0</v>
      </c>
      <c r="HC7" t="s">
        <v>0</v>
      </c>
      <c r="HD7" t="s">
        <v>0</v>
      </c>
      <c r="HE7" t="s">
        <v>0</v>
      </c>
      <c r="HF7" t="s">
        <v>0</v>
      </c>
      <c r="HG7" t="s">
        <v>0</v>
      </c>
      <c r="HH7" t="s">
        <v>0</v>
      </c>
      <c r="HI7" t="s">
        <v>0</v>
      </c>
      <c r="HJ7" t="s">
        <v>0</v>
      </c>
      <c r="HK7" t="s">
        <v>0</v>
      </c>
      <c r="HL7" t="s">
        <v>0</v>
      </c>
      <c r="HM7" t="s">
        <v>0</v>
      </c>
      <c r="HN7" t="s">
        <v>0</v>
      </c>
      <c r="HO7" t="s">
        <v>0</v>
      </c>
      <c r="HP7" t="s">
        <v>0</v>
      </c>
      <c r="HQ7" t="s">
        <v>0</v>
      </c>
      <c r="HR7" t="s">
        <v>0</v>
      </c>
    </row>
    <row r="8" spans="1:226">
      <c r="A8">
        <v>2</v>
      </c>
      <c r="B8" t="s">
        <v>36</v>
      </c>
      <c r="C8">
        <v>26</v>
      </c>
      <c r="D8">
        <v>604</v>
      </c>
      <c r="E8">
        <v>6175.75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2760</v>
      </c>
      <c r="M8">
        <v>0</v>
      </c>
      <c r="N8">
        <v>0</v>
      </c>
      <c r="O8">
        <v>1200</v>
      </c>
      <c r="P8">
        <v>1560</v>
      </c>
      <c r="Q8">
        <v>5520</v>
      </c>
      <c r="R8">
        <v>0</v>
      </c>
      <c r="S8">
        <v>0</v>
      </c>
      <c r="T8">
        <v>5520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5520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  <c r="EM8" t="s">
        <v>0</v>
      </c>
      <c r="EN8" t="s">
        <v>0</v>
      </c>
      <c r="EO8" t="s">
        <v>0</v>
      </c>
      <c r="EP8" t="s">
        <v>0</v>
      </c>
      <c r="EQ8" t="s">
        <v>0</v>
      </c>
      <c r="ER8" t="s">
        <v>0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  <c r="GS8" t="s">
        <v>0</v>
      </c>
      <c r="GT8" t="s">
        <v>0</v>
      </c>
      <c r="GU8" t="s">
        <v>0</v>
      </c>
      <c r="GV8" t="s">
        <v>0</v>
      </c>
      <c r="GW8" t="s">
        <v>0</v>
      </c>
      <c r="GX8" t="s">
        <v>0</v>
      </c>
      <c r="GY8" t="s">
        <v>0</v>
      </c>
      <c r="GZ8" t="s">
        <v>0</v>
      </c>
      <c r="HA8" t="s">
        <v>0</v>
      </c>
      <c r="HB8" t="s">
        <v>0</v>
      </c>
      <c r="HC8" t="s">
        <v>0</v>
      </c>
      <c r="HD8" t="s">
        <v>0</v>
      </c>
      <c r="HE8" t="s">
        <v>0</v>
      </c>
      <c r="HF8" t="s">
        <v>0</v>
      </c>
      <c r="HG8" t="s">
        <v>0</v>
      </c>
      <c r="HH8" t="s">
        <v>0</v>
      </c>
      <c r="HI8" t="s">
        <v>0</v>
      </c>
      <c r="HJ8" t="s">
        <v>0</v>
      </c>
      <c r="HK8" t="s">
        <v>0</v>
      </c>
      <c r="HL8" t="s">
        <v>0</v>
      </c>
      <c r="HM8" t="s">
        <v>0</v>
      </c>
      <c r="HN8" t="s">
        <v>0</v>
      </c>
      <c r="HO8" t="s">
        <v>0</v>
      </c>
      <c r="HP8" t="s">
        <v>0</v>
      </c>
      <c r="HQ8" t="s">
        <v>0</v>
      </c>
      <c r="HR8" t="s">
        <v>0</v>
      </c>
    </row>
    <row r="9" spans="1:226">
      <c r="A9" t="s">
        <v>37</v>
      </c>
      <c r="B9" t="s">
        <v>0</v>
      </c>
      <c r="C9">
        <v>31</v>
      </c>
      <c r="D9">
        <v>734</v>
      </c>
      <c r="E9">
        <v>6890.75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3920</v>
      </c>
      <c r="M9">
        <v>0</v>
      </c>
      <c r="N9">
        <v>0</v>
      </c>
      <c r="O9">
        <v>2400</v>
      </c>
      <c r="P9">
        <v>1860</v>
      </c>
      <c r="Q9">
        <v>8180</v>
      </c>
      <c r="R9">
        <v>0</v>
      </c>
      <c r="S9">
        <v>0</v>
      </c>
      <c r="T9">
        <v>8180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8180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  <c r="EM9" t="s">
        <v>0</v>
      </c>
      <c r="EN9" t="s">
        <v>0</v>
      </c>
      <c r="EO9" t="s">
        <v>0</v>
      </c>
      <c r="EP9" t="s">
        <v>0</v>
      </c>
      <c r="EQ9" t="s">
        <v>0</v>
      </c>
      <c r="ER9" t="s">
        <v>0</v>
      </c>
      <c r="ES9" t="s">
        <v>0</v>
      </c>
      <c r="ET9" t="s">
        <v>0</v>
      </c>
      <c r="EU9" t="s">
        <v>0</v>
      </c>
      <c r="EV9" t="s">
        <v>0</v>
      </c>
      <c r="EW9" t="s">
        <v>0</v>
      </c>
      <c r="EX9" t="s">
        <v>0</v>
      </c>
      <c r="EY9" t="s">
        <v>0</v>
      </c>
      <c r="EZ9" t="s">
        <v>0</v>
      </c>
      <c r="FA9" t="s">
        <v>0</v>
      </c>
      <c r="FB9" t="s">
        <v>0</v>
      </c>
      <c r="FC9" t="s">
        <v>0</v>
      </c>
      <c r="FD9" t="s">
        <v>0</v>
      </c>
      <c r="FE9" t="s">
        <v>0</v>
      </c>
      <c r="FF9" t="s">
        <v>0</v>
      </c>
      <c r="FG9" t="s">
        <v>0</v>
      </c>
      <c r="FH9" t="s">
        <v>0</v>
      </c>
      <c r="FI9" t="s">
        <v>0</v>
      </c>
      <c r="FJ9" t="s">
        <v>0</v>
      </c>
      <c r="FK9" t="s">
        <v>0</v>
      </c>
      <c r="FL9" t="s">
        <v>0</v>
      </c>
      <c r="FM9" t="s">
        <v>0</v>
      </c>
      <c r="FN9" t="s">
        <v>0</v>
      </c>
      <c r="FO9" t="s">
        <v>0</v>
      </c>
      <c r="FP9" t="s">
        <v>0</v>
      </c>
      <c r="FQ9" t="s">
        <v>0</v>
      </c>
      <c r="FR9" t="s">
        <v>0</v>
      </c>
      <c r="FS9" t="s">
        <v>0</v>
      </c>
      <c r="FT9" t="s">
        <v>0</v>
      </c>
      <c r="FU9" t="s">
        <v>0</v>
      </c>
      <c r="FV9" t="s">
        <v>0</v>
      </c>
      <c r="FW9" t="s">
        <v>0</v>
      </c>
      <c r="FX9" t="s">
        <v>0</v>
      </c>
      <c r="FY9" t="s">
        <v>0</v>
      </c>
      <c r="FZ9" t="s">
        <v>0</v>
      </c>
      <c r="GA9" t="s">
        <v>0</v>
      </c>
      <c r="GB9" t="s">
        <v>0</v>
      </c>
      <c r="GC9" t="s">
        <v>0</v>
      </c>
      <c r="GD9" t="s">
        <v>0</v>
      </c>
      <c r="GE9" t="s">
        <v>0</v>
      </c>
      <c r="GF9" t="s">
        <v>0</v>
      </c>
      <c r="GG9" t="s">
        <v>0</v>
      </c>
      <c r="GH9" t="s">
        <v>0</v>
      </c>
      <c r="GI9" t="s">
        <v>0</v>
      </c>
      <c r="GJ9" t="s">
        <v>0</v>
      </c>
      <c r="GK9" t="s">
        <v>0</v>
      </c>
      <c r="GL9" t="s">
        <v>0</v>
      </c>
      <c r="GM9" t="s">
        <v>0</v>
      </c>
      <c r="GN9" t="s">
        <v>0</v>
      </c>
      <c r="GO9" t="s">
        <v>0</v>
      </c>
      <c r="GP9" t="s">
        <v>0</v>
      </c>
      <c r="GQ9" t="s">
        <v>0</v>
      </c>
      <c r="GR9" t="s">
        <v>0</v>
      </c>
      <c r="GS9" t="s">
        <v>0</v>
      </c>
      <c r="GT9" t="s">
        <v>0</v>
      </c>
      <c r="GU9" t="s">
        <v>0</v>
      </c>
      <c r="GV9" t="s">
        <v>0</v>
      </c>
      <c r="GW9" t="s">
        <v>0</v>
      </c>
      <c r="GX9" t="s">
        <v>0</v>
      </c>
      <c r="GY9" t="s">
        <v>0</v>
      </c>
      <c r="GZ9" t="s">
        <v>0</v>
      </c>
      <c r="HA9" t="s">
        <v>0</v>
      </c>
      <c r="HB9" t="s">
        <v>0</v>
      </c>
      <c r="HC9" t="s">
        <v>0</v>
      </c>
      <c r="HD9" t="s">
        <v>0</v>
      </c>
      <c r="HE9" t="s">
        <v>0</v>
      </c>
      <c r="HF9" t="s">
        <v>0</v>
      </c>
      <c r="HG9" t="s">
        <v>0</v>
      </c>
      <c r="HH9" t="s">
        <v>0</v>
      </c>
      <c r="HI9" t="s">
        <v>0</v>
      </c>
      <c r="HJ9" t="s">
        <v>0</v>
      </c>
      <c r="HK9" t="s">
        <v>0</v>
      </c>
      <c r="HL9" t="s">
        <v>0</v>
      </c>
      <c r="HM9" t="s">
        <v>0</v>
      </c>
      <c r="HN9" t="s">
        <v>0</v>
      </c>
      <c r="HO9" t="s">
        <v>0</v>
      </c>
      <c r="HP9" t="s">
        <v>0</v>
      </c>
      <c r="HQ9" t="s">
        <v>0</v>
      </c>
      <c r="HR9" t="s">
        <v>0</v>
      </c>
    </row>
    <row r="10" spans="1:226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</row>
    <row r="11" spans="1:226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  <c r="EM11" t="s">
        <v>0</v>
      </c>
      <c r="EN11" t="s">
        <v>0</v>
      </c>
      <c r="EO11" t="s">
        <v>0</v>
      </c>
      <c r="EP11" t="s">
        <v>0</v>
      </c>
      <c r="EQ11" t="s">
        <v>0</v>
      </c>
      <c r="ER11" t="s">
        <v>0</v>
      </c>
      <c r="ES11" t="s">
        <v>0</v>
      </c>
      <c r="ET11" t="s">
        <v>0</v>
      </c>
      <c r="EU11" t="s">
        <v>0</v>
      </c>
      <c r="EV11" t="s">
        <v>0</v>
      </c>
      <c r="EW11" t="s">
        <v>0</v>
      </c>
      <c r="EX11" t="s">
        <v>0</v>
      </c>
      <c r="EY11" t="s">
        <v>0</v>
      </c>
      <c r="EZ11" t="s">
        <v>0</v>
      </c>
      <c r="FA11" t="s">
        <v>0</v>
      </c>
      <c r="FB11" t="s">
        <v>0</v>
      </c>
      <c r="FC11" t="s">
        <v>0</v>
      </c>
      <c r="FD11" t="s">
        <v>0</v>
      </c>
      <c r="FE11" t="s">
        <v>0</v>
      </c>
      <c r="FF11" t="s">
        <v>0</v>
      </c>
      <c r="FG11" t="s">
        <v>0</v>
      </c>
      <c r="FH11" t="s">
        <v>0</v>
      </c>
      <c r="FI11" t="s">
        <v>0</v>
      </c>
      <c r="FJ11" t="s">
        <v>0</v>
      </c>
      <c r="FK11" t="s">
        <v>0</v>
      </c>
      <c r="FL11" t="s">
        <v>0</v>
      </c>
      <c r="FM11" t="s">
        <v>0</v>
      </c>
      <c r="FN11" t="s">
        <v>0</v>
      </c>
      <c r="FO11" t="s">
        <v>0</v>
      </c>
      <c r="FP11" t="s">
        <v>0</v>
      </c>
      <c r="FQ11" t="s">
        <v>0</v>
      </c>
      <c r="FR11" t="s">
        <v>0</v>
      </c>
      <c r="FS11" t="s">
        <v>0</v>
      </c>
      <c r="FT11" t="s">
        <v>0</v>
      </c>
      <c r="FU11" t="s">
        <v>0</v>
      </c>
      <c r="FV11" t="s">
        <v>0</v>
      </c>
      <c r="FW11" t="s">
        <v>0</v>
      </c>
      <c r="FX11" t="s">
        <v>0</v>
      </c>
      <c r="FY11" t="s">
        <v>0</v>
      </c>
      <c r="FZ11" t="s">
        <v>0</v>
      </c>
      <c r="GA11" t="s">
        <v>0</v>
      </c>
      <c r="GB11" t="s">
        <v>0</v>
      </c>
      <c r="GC11" t="s">
        <v>0</v>
      </c>
      <c r="GD11" t="s">
        <v>0</v>
      </c>
      <c r="GE11" t="s">
        <v>0</v>
      </c>
      <c r="GF11" t="s">
        <v>0</v>
      </c>
      <c r="GG11" t="s">
        <v>0</v>
      </c>
      <c r="GH11" t="s">
        <v>0</v>
      </c>
      <c r="GI11" t="s">
        <v>0</v>
      </c>
      <c r="GJ11" t="s">
        <v>0</v>
      </c>
      <c r="GK11" t="s">
        <v>0</v>
      </c>
      <c r="GL11" t="s">
        <v>0</v>
      </c>
      <c r="GM11" t="s">
        <v>0</v>
      </c>
      <c r="GN11" t="s">
        <v>0</v>
      </c>
      <c r="GO11" t="s">
        <v>0</v>
      </c>
      <c r="GP11" t="s">
        <v>0</v>
      </c>
      <c r="GQ11" t="s">
        <v>0</v>
      </c>
      <c r="GR11" t="s">
        <v>0</v>
      </c>
      <c r="GS11" t="s">
        <v>0</v>
      </c>
      <c r="GT11" t="s">
        <v>0</v>
      </c>
      <c r="GU11" t="s">
        <v>0</v>
      </c>
      <c r="GV11" t="s">
        <v>0</v>
      </c>
      <c r="GW11" t="s">
        <v>0</v>
      </c>
      <c r="GX11" t="s">
        <v>0</v>
      </c>
      <c r="GY11" t="s">
        <v>0</v>
      </c>
      <c r="GZ11" t="s">
        <v>0</v>
      </c>
      <c r="HA11" t="s">
        <v>0</v>
      </c>
      <c r="HB11" t="s">
        <v>0</v>
      </c>
      <c r="HC11" t="s">
        <v>0</v>
      </c>
      <c r="HD11" t="s">
        <v>0</v>
      </c>
      <c r="HE11" t="s">
        <v>0</v>
      </c>
      <c r="HF11" t="s">
        <v>0</v>
      </c>
      <c r="HG11" t="s">
        <v>0</v>
      </c>
      <c r="HH11" t="s">
        <v>0</v>
      </c>
      <c r="HI11" t="s">
        <v>0</v>
      </c>
      <c r="HJ11" t="s">
        <v>0</v>
      </c>
      <c r="HK11" t="s">
        <v>0</v>
      </c>
      <c r="HL11" t="s">
        <v>0</v>
      </c>
      <c r="HM11" t="s">
        <v>0</v>
      </c>
      <c r="HN11" t="s">
        <v>0</v>
      </c>
      <c r="HO11" t="s">
        <v>0</v>
      </c>
      <c r="HP11" t="s">
        <v>0</v>
      </c>
      <c r="HQ11" t="s">
        <v>0</v>
      </c>
      <c r="HR11" t="s">
        <v>0</v>
      </c>
    </row>
    <row r="12" spans="1:226">
      <c r="A12" t="s">
        <v>38</v>
      </c>
      <c r="B12" t="s">
        <v>0</v>
      </c>
      <c r="C12" t="s">
        <v>0</v>
      </c>
      <c r="D12" t="s">
        <v>0</v>
      </c>
      <c r="E12" t="s">
        <v>0</v>
      </c>
      <c r="F12" t="s">
        <v>39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40</v>
      </c>
      <c r="N12" t="s">
        <v>0</v>
      </c>
      <c r="O12" t="s">
        <v>0</v>
      </c>
      <c r="P12" t="s">
        <v>0</v>
      </c>
      <c r="Q12" t="s">
        <v>41</v>
      </c>
      <c r="R12" t="s">
        <v>0</v>
      </c>
      <c r="S12" t="s">
        <v>0</v>
      </c>
      <c r="T12" t="s">
        <v>42</v>
      </c>
      <c r="U12" t="s">
        <v>0</v>
      </c>
      <c r="V12" t="s">
        <v>0</v>
      </c>
      <c r="W12" t="s">
        <v>0</v>
      </c>
      <c r="X12" t="s">
        <v>0</v>
      </c>
      <c r="Y12" t="s">
        <v>43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  <c r="EM12" t="s">
        <v>0</v>
      </c>
      <c r="EN12" t="s">
        <v>0</v>
      </c>
      <c r="EO12" t="s">
        <v>0</v>
      </c>
      <c r="EP12" t="s">
        <v>0</v>
      </c>
      <c r="EQ12" t="s">
        <v>0</v>
      </c>
      <c r="ER12" t="s">
        <v>0</v>
      </c>
      <c r="ES12" t="s">
        <v>0</v>
      </c>
      <c r="ET12" t="s">
        <v>0</v>
      </c>
      <c r="EU12" t="s">
        <v>0</v>
      </c>
      <c r="EV12" t="s">
        <v>0</v>
      </c>
      <c r="EW12" t="s">
        <v>0</v>
      </c>
      <c r="EX12" t="s">
        <v>0</v>
      </c>
      <c r="EY12" t="s">
        <v>0</v>
      </c>
      <c r="EZ12" t="s">
        <v>0</v>
      </c>
      <c r="FA12" t="s">
        <v>0</v>
      </c>
      <c r="FB12" t="s">
        <v>0</v>
      </c>
      <c r="FC12" t="s">
        <v>0</v>
      </c>
      <c r="FD12" t="s">
        <v>0</v>
      </c>
      <c r="FE12" t="s">
        <v>0</v>
      </c>
      <c r="FF12" t="s">
        <v>0</v>
      </c>
      <c r="FG12" t="s">
        <v>0</v>
      </c>
      <c r="FH12" t="s">
        <v>0</v>
      </c>
      <c r="FI12" t="s">
        <v>0</v>
      </c>
      <c r="FJ12" t="s">
        <v>0</v>
      </c>
      <c r="FK12" t="s">
        <v>0</v>
      </c>
      <c r="FL12" t="s">
        <v>0</v>
      </c>
      <c r="FM12" t="s">
        <v>0</v>
      </c>
      <c r="FN12" t="s">
        <v>0</v>
      </c>
      <c r="FO12" t="s">
        <v>0</v>
      </c>
      <c r="FP12" t="s">
        <v>0</v>
      </c>
      <c r="FQ12" t="s">
        <v>0</v>
      </c>
      <c r="FR12" t="s">
        <v>0</v>
      </c>
      <c r="FS12" t="s">
        <v>0</v>
      </c>
      <c r="FT12" t="s">
        <v>0</v>
      </c>
      <c r="FU12" t="s">
        <v>0</v>
      </c>
      <c r="FV12" t="s">
        <v>0</v>
      </c>
      <c r="FW12" t="s">
        <v>0</v>
      </c>
      <c r="FX12" t="s">
        <v>0</v>
      </c>
      <c r="FY12" t="s">
        <v>0</v>
      </c>
      <c r="FZ12" t="s">
        <v>0</v>
      </c>
      <c r="GA12" t="s">
        <v>0</v>
      </c>
      <c r="GB12" t="s">
        <v>0</v>
      </c>
      <c r="GC12" t="s">
        <v>0</v>
      </c>
      <c r="GD12" t="s">
        <v>0</v>
      </c>
      <c r="GE12" t="s">
        <v>0</v>
      </c>
      <c r="GF12" t="s">
        <v>0</v>
      </c>
      <c r="GG12" t="s">
        <v>0</v>
      </c>
      <c r="GH12" t="s">
        <v>0</v>
      </c>
      <c r="GI12" t="s">
        <v>0</v>
      </c>
      <c r="GJ12" t="s">
        <v>0</v>
      </c>
      <c r="GK12" t="s">
        <v>0</v>
      </c>
      <c r="GL12" t="s">
        <v>0</v>
      </c>
      <c r="GM12" t="s">
        <v>0</v>
      </c>
      <c r="GN12" t="s">
        <v>0</v>
      </c>
      <c r="GO12" t="s">
        <v>0</v>
      </c>
      <c r="GP12" t="s">
        <v>0</v>
      </c>
      <c r="GQ12" t="s">
        <v>0</v>
      </c>
      <c r="GR12" t="s">
        <v>0</v>
      </c>
      <c r="GS12" t="s">
        <v>0</v>
      </c>
      <c r="GT12" t="s">
        <v>0</v>
      </c>
      <c r="GU12" t="s">
        <v>0</v>
      </c>
      <c r="GV12" t="s">
        <v>0</v>
      </c>
      <c r="GW12" t="s">
        <v>0</v>
      </c>
      <c r="GX12" t="s">
        <v>0</v>
      </c>
      <c r="GY12" t="s">
        <v>0</v>
      </c>
      <c r="GZ12" t="s">
        <v>0</v>
      </c>
      <c r="HA12" t="s">
        <v>0</v>
      </c>
      <c r="HB12" t="s">
        <v>0</v>
      </c>
      <c r="HC12" t="s">
        <v>0</v>
      </c>
      <c r="HD12" t="s">
        <v>0</v>
      </c>
      <c r="HE12" t="s">
        <v>0</v>
      </c>
      <c r="HF12" t="s">
        <v>0</v>
      </c>
      <c r="HG12" t="s">
        <v>0</v>
      </c>
      <c r="HH12" t="s">
        <v>0</v>
      </c>
      <c r="HI12" t="s">
        <v>0</v>
      </c>
      <c r="HJ12" t="s">
        <v>0</v>
      </c>
      <c r="HK12" t="s">
        <v>0</v>
      </c>
      <c r="HL12" t="s">
        <v>0</v>
      </c>
      <c r="HM12" t="s">
        <v>0</v>
      </c>
      <c r="HN12" t="s">
        <v>0</v>
      </c>
      <c r="HO12" t="s">
        <v>0</v>
      </c>
      <c r="HP12" t="s">
        <v>0</v>
      </c>
      <c r="HQ12" t="s">
        <v>0</v>
      </c>
      <c r="HR12" t="s">
        <v>0</v>
      </c>
    </row>
    <row r="13" spans="1:226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  <c r="EM13" t="s">
        <v>0</v>
      </c>
      <c r="EN13" t="s">
        <v>0</v>
      </c>
      <c r="EO13" t="s">
        <v>0</v>
      </c>
      <c r="EP13" t="s">
        <v>0</v>
      </c>
      <c r="EQ13" t="s">
        <v>0</v>
      </c>
      <c r="ER13" t="s">
        <v>0</v>
      </c>
      <c r="ES13" t="s">
        <v>0</v>
      </c>
      <c r="ET13" t="s">
        <v>0</v>
      </c>
      <c r="EU13" t="s">
        <v>0</v>
      </c>
      <c r="EV13" t="s">
        <v>0</v>
      </c>
      <c r="EW13" t="s">
        <v>0</v>
      </c>
      <c r="EX13" t="s">
        <v>0</v>
      </c>
      <c r="EY13" t="s">
        <v>0</v>
      </c>
      <c r="EZ13" t="s">
        <v>0</v>
      </c>
      <c r="FA13" t="s">
        <v>0</v>
      </c>
      <c r="FB13" t="s">
        <v>0</v>
      </c>
      <c r="FC13" t="s">
        <v>0</v>
      </c>
      <c r="FD13" t="s">
        <v>0</v>
      </c>
      <c r="FE13" t="s">
        <v>0</v>
      </c>
      <c r="FF13" t="s">
        <v>0</v>
      </c>
      <c r="FG13" t="s">
        <v>0</v>
      </c>
      <c r="FH13" t="s">
        <v>0</v>
      </c>
      <c r="FI13" t="s">
        <v>0</v>
      </c>
      <c r="FJ13" t="s">
        <v>0</v>
      </c>
      <c r="FK13" t="s">
        <v>0</v>
      </c>
      <c r="FL13" t="s">
        <v>0</v>
      </c>
      <c r="FM13" t="s">
        <v>0</v>
      </c>
      <c r="FN13" t="s">
        <v>0</v>
      </c>
      <c r="FO13" t="s">
        <v>0</v>
      </c>
      <c r="FP13" t="s">
        <v>0</v>
      </c>
      <c r="FQ13" t="s">
        <v>0</v>
      </c>
      <c r="FR13" t="s">
        <v>0</v>
      </c>
      <c r="FS13" t="s">
        <v>0</v>
      </c>
      <c r="FT13" t="s">
        <v>0</v>
      </c>
      <c r="FU13" t="s">
        <v>0</v>
      </c>
      <c r="FV13" t="s">
        <v>0</v>
      </c>
      <c r="FW13" t="s">
        <v>0</v>
      </c>
      <c r="FX13" t="s">
        <v>0</v>
      </c>
      <c r="FY13" t="s">
        <v>0</v>
      </c>
      <c r="FZ13" t="s">
        <v>0</v>
      </c>
      <c r="GA13" t="s">
        <v>0</v>
      </c>
      <c r="GB13" t="s">
        <v>0</v>
      </c>
      <c r="GC13" t="s">
        <v>0</v>
      </c>
      <c r="GD13" t="s">
        <v>0</v>
      </c>
      <c r="GE13" t="s">
        <v>0</v>
      </c>
      <c r="GF13" t="s">
        <v>0</v>
      </c>
      <c r="GG13" t="s">
        <v>0</v>
      </c>
      <c r="GH13" t="s">
        <v>0</v>
      </c>
      <c r="GI13" t="s">
        <v>0</v>
      </c>
      <c r="GJ13" t="s">
        <v>0</v>
      </c>
      <c r="GK13" t="s">
        <v>0</v>
      </c>
      <c r="GL13" t="s">
        <v>0</v>
      </c>
      <c r="GM13" t="s">
        <v>0</v>
      </c>
      <c r="GN13" t="s">
        <v>0</v>
      </c>
      <c r="GO13" t="s">
        <v>0</v>
      </c>
      <c r="GP13" t="s">
        <v>0</v>
      </c>
      <c r="GQ13" t="s">
        <v>0</v>
      </c>
      <c r="GR13" t="s">
        <v>0</v>
      </c>
      <c r="GS13" t="s">
        <v>0</v>
      </c>
      <c r="GT13" t="s">
        <v>0</v>
      </c>
      <c r="GU13" t="s">
        <v>0</v>
      </c>
      <c r="GV13" t="s">
        <v>0</v>
      </c>
      <c r="GW13" t="s">
        <v>0</v>
      </c>
      <c r="GX13" t="s">
        <v>0</v>
      </c>
      <c r="GY13" t="s">
        <v>0</v>
      </c>
      <c r="GZ13" t="s">
        <v>0</v>
      </c>
      <c r="HA13" t="s">
        <v>0</v>
      </c>
      <c r="HB13" t="s">
        <v>0</v>
      </c>
      <c r="HC13" t="s">
        <v>0</v>
      </c>
      <c r="HD13" t="s">
        <v>0</v>
      </c>
      <c r="HE13" t="s">
        <v>0</v>
      </c>
      <c r="HF13" t="s">
        <v>0</v>
      </c>
      <c r="HG13" t="s">
        <v>0</v>
      </c>
      <c r="HH13" t="s">
        <v>0</v>
      </c>
      <c r="HI13" t="s">
        <v>0</v>
      </c>
      <c r="HJ13" t="s">
        <v>0</v>
      </c>
      <c r="HK13" t="s">
        <v>0</v>
      </c>
      <c r="HL13" t="s">
        <v>0</v>
      </c>
      <c r="HM13" t="s">
        <v>0</v>
      </c>
      <c r="HN13" t="s">
        <v>0</v>
      </c>
      <c r="HO13" t="s">
        <v>0</v>
      </c>
      <c r="HP13" t="s">
        <v>0</v>
      </c>
      <c r="HQ13" t="s">
        <v>0</v>
      </c>
      <c r="HR13" t="s">
        <v>0</v>
      </c>
    </row>
    <row r="14" spans="1:226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  <c r="EM14" t="s">
        <v>0</v>
      </c>
      <c r="EN14" t="s">
        <v>0</v>
      </c>
      <c r="EO14" t="s">
        <v>0</v>
      </c>
      <c r="EP14" t="s">
        <v>0</v>
      </c>
      <c r="EQ14" t="s">
        <v>0</v>
      </c>
      <c r="ER14" t="s">
        <v>0</v>
      </c>
      <c r="ES14" t="s">
        <v>0</v>
      </c>
      <c r="ET14" t="s">
        <v>0</v>
      </c>
      <c r="EU14" t="s">
        <v>0</v>
      </c>
      <c r="EV14" t="s">
        <v>0</v>
      </c>
      <c r="EW14" t="s">
        <v>0</v>
      </c>
      <c r="EX14" t="s">
        <v>0</v>
      </c>
      <c r="EY14" t="s">
        <v>0</v>
      </c>
      <c r="EZ14" t="s">
        <v>0</v>
      </c>
      <c r="FA14" t="s">
        <v>0</v>
      </c>
      <c r="FB14" t="s">
        <v>0</v>
      </c>
      <c r="FC14" t="s">
        <v>0</v>
      </c>
      <c r="FD14" t="s">
        <v>0</v>
      </c>
      <c r="FE14" t="s">
        <v>0</v>
      </c>
      <c r="FF14" t="s">
        <v>0</v>
      </c>
      <c r="FG14" t="s">
        <v>0</v>
      </c>
      <c r="FH14" t="s">
        <v>0</v>
      </c>
      <c r="FI14" t="s">
        <v>0</v>
      </c>
      <c r="FJ14" t="s">
        <v>0</v>
      </c>
      <c r="FK14" t="s">
        <v>0</v>
      </c>
      <c r="FL14" t="s">
        <v>0</v>
      </c>
      <c r="FM14" t="s">
        <v>0</v>
      </c>
      <c r="FN14" t="s">
        <v>0</v>
      </c>
      <c r="FO14" t="s">
        <v>0</v>
      </c>
      <c r="FP14" t="s">
        <v>0</v>
      </c>
      <c r="FQ14" t="s">
        <v>0</v>
      </c>
      <c r="FR14" t="s">
        <v>0</v>
      </c>
      <c r="FS14" t="s">
        <v>0</v>
      </c>
      <c r="FT14" t="s">
        <v>0</v>
      </c>
      <c r="FU14" t="s">
        <v>0</v>
      </c>
      <c r="FV14" t="s">
        <v>0</v>
      </c>
      <c r="FW14" t="s">
        <v>0</v>
      </c>
      <c r="FX14" t="s">
        <v>0</v>
      </c>
      <c r="FY14" t="s">
        <v>0</v>
      </c>
      <c r="FZ14" t="s">
        <v>0</v>
      </c>
      <c r="GA14" t="s">
        <v>0</v>
      </c>
      <c r="GB14" t="s">
        <v>0</v>
      </c>
      <c r="GC14" t="s">
        <v>0</v>
      </c>
      <c r="GD14" t="s">
        <v>0</v>
      </c>
      <c r="GE14" t="s">
        <v>0</v>
      </c>
      <c r="GF14" t="s">
        <v>0</v>
      </c>
      <c r="GG14" t="s">
        <v>0</v>
      </c>
      <c r="GH14" t="s">
        <v>0</v>
      </c>
      <c r="GI14" t="s">
        <v>0</v>
      </c>
      <c r="GJ14" t="s">
        <v>0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  <c r="GS14" t="s">
        <v>0</v>
      </c>
      <c r="GT14" t="s">
        <v>0</v>
      </c>
      <c r="GU14" t="s">
        <v>0</v>
      </c>
      <c r="GV14" t="s">
        <v>0</v>
      </c>
      <c r="GW14" t="s">
        <v>0</v>
      </c>
      <c r="GX14" t="s">
        <v>0</v>
      </c>
      <c r="GY14" t="s">
        <v>0</v>
      </c>
      <c r="GZ14" t="s">
        <v>0</v>
      </c>
      <c r="HA14" t="s">
        <v>0</v>
      </c>
      <c r="HB14" t="s">
        <v>0</v>
      </c>
      <c r="HC14" t="s">
        <v>0</v>
      </c>
      <c r="HD14" t="s">
        <v>0</v>
      </c>
      <c r="HE14" t="s">
        <v>0</v>
      </c>
      <c r="HF14" t="s">
        <v>0</v>
      </c>
      <c r="HG14" t="s">
        <v>0</v>
      </c>
      <c r="HH14" t="s">
        <v>0</v>
      </c>
      <c r="HI14" t="s">
        <v>0</v>
      </c>
      <c r="HJ14" t="s">
        <v>0</v>
      </c>
      <c r="HK14" t="s">
        <v>0</v>
      </c>
      <c r="HL14" t="s">
        <v>0</v>
      </c>
      <c r="HM14" t="s">
        <v>0</v>
      </c>
      <c r="HN14" t="s">
        <v>0</v>
      </c>
      <c r="HO14" t="s">
        <v>0</v>
      </c>
      <c r="HP14" t="s">
        <v>0</v>
      </c>
      <c r="HQ14" t="s">
        <v>0</v>
      </c>
      <c r="HR14" t="s">
        <v>0</v>
      </c>
    </row>
  </sheetData>
  <mergeCells count="38">
    <mergeCell ref="A2:AB2"/>
    <mergeCell ref="A3:E3"/>
    <mergeCell ref="Z3:AB3"/>
    <mergeCell ref="F4:G4"/>
    <mergeCell ref="H4:I4"/>
    <mergeCell ref="L4:Q4"/>
    <mergeCell ref="U4:Z4"/>
    <mergeCell ref="U5:W5"/>
    <mergeCell ref="A9:B9"/>
    <mergeCell ref="A12:E12"/>
    <mergeCell ref="T12:W12"/>
    <mergeCell ref="Y12:Z12"/>
    <mergeCell ref="AA14:AB14"/>
    <mergeCell ref="A4:A6"/>
    <mergeCell ref="B4:B6"/>
    <mergeCell ref="C4:C6"/>
    <mergeCell ref="D4:D6"/>
    <mergeCell ref="E4:E6"/>
    <mergeCell ref="F5:F6"/>
    <mergeCell ref="G5:G6"/>
    <mergeCell ref="H5:H6"/>
    <mergeCell ref="I5:I6"/>
    <mergeCell ref="J4:J6"/>
    <mergeCell ref="K4:K6"/>
    <mergeCell ref="L5:L6"/>
    <mergeCell ref="M5:M6"/>
    <mergeCell ref="N5:N6"/>
    <mergeCell ref="O5:O6"/>
    <mergeCell ref="P5:P6"/>
    <mergeCell ref="Q5:Q6"/>
    <mergeCell ref="R4:R6"/>
    <mergeCell ref="S4:S6"/>
    <mergeCell ref="T4:T6"/>
    <mergeCell ref="X5:X6"/>
    <mergeCell ref="Y5:Y6"/>
    <mergeCell ref="Z5:Z6"/>
    <mergeCell ref="AA4:AA6"/>
    <mergeCell ref="AB4:AB6"/>
  </mergeCells>
  <pageMargins left="0.75" right="0.75" top="1" bottom="1" header="0.5" footer="0.5"/>
  <headerFooter/>
  <ignoredErrors>
    <ignoredError sqref="A1:HR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2"/>
  <sheetViews>
    <sheetView tabSelected="1" topLeftCell="A22" workbookViewId="0">
      <selection activeCell="Q52" sqref="Q52"/>
    </sheetView>
  </sheetViews>
  <sheetFormatPr defaultColWidth="9" defaultRowHeight="15.6"/>
  <sheetData>
    <row r="1" spans="1:51">
      <c r="A1" t="s">
        <v>44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>
        <v>5</v>
      </c>
      <c r="AF1" t="s">
        <v>0</v>
      </c>
      <c r="AG1" t="s">
        <v>45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</row>
    <row r="2" spans="1:51">
      <c r="A2" t="s">
        <v>46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2</v>
      </c>
      <c r="AQ2" t="s">
        <v>0</v>
      </c>
      <c r="AR2" t="s">
        <v>0</v>
      </c>
      <c r="AS2" t="s">
        <v>47</v>
      </c>
      <c r="AT2" t="s">
        <v>0</v>
      </c>
      <c r="AU2">
        <v>46159</v>
      </c>
      <c r="AV2" t="s">
        <v>0</v>
      </c>
      <c r="AW2" t="s">
        <v>0</v>
      </c>
      <c r="AX2" t="s">
        <v>0</v>
      </c>
      <c r="AY2" t="s">
        <v>0</v>
      </c>
    </row>
    <row r="3" spans="1:51">
      <c r="A3" t="s">
        <v>3</v>
      </c>
      <c r="B3" t="s">
        <v>4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0</v>
      </c>
      <c r="I3" t="s">
        <v>0</v>
      </c>
      <c r="J3" t="s">
        <v>0</v>
      </c>
      <c r="K3" t="s">
        <v>0</v>
      </c>
      <c r="L3" t="s">
        <v>53</v>
      </c>
      <c r="M3" t="s">
        <v>54</v>
      </c>
      <c r="N3" t="s">
        <v>0</v>
      </c>
      <c r="O3" t="s">
        <v>0</v>
      </c>
      <c r="P3" t="s">
        <v>55</v>
      </c>
      <c r="Q3" t="s">
        <v>0</v>
      </c>
      <c r="R3" t="s">
        <v>0</v>
      </c>
      <c r="S3" t="s">
        <v>9</v>
      </c>
      <c r="T3" t="s">
        <v>0</v>
      </c>
      <c r="U3" t="s">
        <v>56</v>
      </c>
      <c r="V3" t="s">
        <v>0</v>
      </c>
      <c r="W3" t="s">
        <v>0</v>
      </c>
      <c r="X3" t="s">
        <v>11</v>
      </c>
      <c r="Y3" t="s">
        <v>0</v>
      </c>
      <c r="Z3" t="s">
        <v>0</v>
      </c>
      <c r="AA3" t="s">
        <v>57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13</v>
      </c>
      <c r="AN3" t="s">
        <v>58</v>
      </c>
      <c r="AO3" t="s">
        <v>59</v>
      </c>
      <c r="AP3" t="s">
        <v>60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17</v>
      </c>
      <c r="AW3" t="s">
        <v>61</v>
      </c>
      <c r="AX3" t="s">
        <v>0</v>
      </c>
      <c r="AY3" t="s">
        <v>0</v>
      </c>
    </row>
    <row r="4" spans="1:51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62</v>
      </c>
      <c r="H4" t="s">
        <v>63</v>
      </c>
      <c r="I4" t="s">
        <v>64</v>
      </c>
      <c r="J4" t="s">
        <v>19</v>
      </c>
      <c r="K4" t="s">
        <v>20</v>
      </c>
      <c r="L4" t="s">
        <v>0</v>
      </c>
      <c r="M4" t="s">
        <v>65</v>
      </c>
      <c r="N4" t="s">
        <v>66</v>
      </c>
      <c r="O4" t="s">
        <v>0</v>
      </c>
      <c r="P4" t="s">
        <v>67</v>
      </c>
      <c r="Q4" t="s">
        <v>19</v>
      </c>
      <c r="R4" t="s">
        <v>20</v>
      </c>
      <c r="S4" t="s">
        <v>68</v>
      </c>
      <c r="T4" t="s">
        <v>22</v>
      </c>
      <c r="U4" t="s">
        <v>69</v>
      </c>
      <c r="V4" t="s">
        <v>70</v>
      </c>
      <c r="W4" t="s">
        <v>71</v>
      </c>
      <c r="X4" t="s">
        <v>72</v>
      </c>
      <c r="Y4" t="s">
        <v>73</v>
      </c>
      <c r="Z4" t="s">
        <v>71</v>
      </c>
      <c r="AA4" t="s">
        <v>74</v>
      </c>
      <c r="AB4" t="s">
        <v>0</v>
      </c>
      <c r="AC4" t="s">
        <v>75</v>
      </c>
      <c r="AD4" t="s">
        <v>0</v>
      </c>
      <c r="AE4" t="s">
        <v>25</v>
      </c>
      <c r="AF4" t="s">
        <v>0</v>
      </c>
      <c r="AG4" t="s">
        <v>0</v>
      </c>
      <c r="AH4" t="s">
        <v>0</v>
      </c>
      <c r="AI4" t="s">
        <v>0</v>
      </c>
      <c r="AJ4" t="s">
        <v>76</v>
      </c>
      <c r="AK4" t="s">
        <v>27</v>
      </c>
      <c r="AL4" t="s">
        <v>28</v>
      </c>
      <c r="AM4" t="s">
        <v>0</v>
      </c>
      <c r="AN4" t="s">
        <v>0</v>
      </c>
      <c r="AO4" t="s">
        <v>0</v>
      </c>
      <c r="AP4" t="s">
        <v>77</v>
      </c>
      <c r="AQ4" t="s">
        <v>78</v>
      </c>
      <c r="AR4" t="s">
        <v>34</v>
      </c>
      <c r="AS4" t="s">
        <v>30</v>
      </c>
      <c r="AT4" t="s">
        <v>31</v>
      </c>
      <c r="AU4" t="s">
        <v>28</v>
      </c>
      <c r="AV4" t="s">
        <v>0</v>
      </c>
      <c r="AW4" t="s">
        <v>0</v>
      </c>
      <c r="AX4" t="s">
        <v>0</v>
      </c>
      <c r="AY4" t="s">
        <v>0</v>
      </c>
    </row>
    <row r="5" spans="1:51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79</v>
      </c>
      <c r="AF5" t="s">
        <v>0</v>
      </c>
      <c r="AG5" t="s">
        <v>80</v>
      </c>
      <c r="AH5" t="s">
        <v>0</v>
      </c>
      <c r="AI5" t="s">
        <v>71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</row>
    <row r="6" spans="1:51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>
        <v>30</v>
      </c>
      <c r="M6" t="s">
        <v>0</v>
      </c>
      <c r="N6" t="s">
        <v>81</v>
      </c>
      <c r="O6">
        <v>0</v>
      </c>
      <c r="P6" t="s">
        <v>0</v>
      </c>
      <c r="Q6" t="s">
        <v>71</v>
      </c>
      <c r="R6" t="s">
        <v>71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82</v>
      </c>
      <c r="AB6" t="s">
        <v>71</v>
      </c>
      <c r="AC6" t="s">
        <v>73</v>
      </c>
      <c r="AD6" t="s">
        <v>71</v>
      </c>
      <c r="AE6" t="s">
        <v>83</v>
      </c>
      <c r="AF6" t="s">
        <v>84</v>
      </c>
      <c r="AG6" t="s">
        <v>83</v>
      </c>
      <c r="AH6" t="s">
        <v>84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</row>
    <row r="7" spans="1:51">
      <c r="A7">
        <v>1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>
        <v>11</v>
      </c>
      <c r="H7">
        <v>5</v>
      </c>
      <c r="I7">
        <v>13000</v>
      </c>
      <c r="J7">
        <v>7500</v>
      </c>
      <c r="K7">
        <v>15000</v>
      </c>
      <c r="L7">
        <v>30</v>
      </c>
      <c r="M7" t="s">
        <v>0</v>
      </c>
      <c r="N7" t="s">
        <v>0</v>
      </c>
      <c r="O7">
        <v>0</v>
      </c>
      <c r="P7" t="s">
        <v>0</v>
      </c>
      <c r="Q7">
        <v>0</v>
      </c>
      <c r="R7" t="s">
        <v>0</v>
      </c>
      <c r="S7">
        <v>0</v>
      </c>
      <c r="T7" t="s">
        <v>0</v>
      </c>
      <c r="U7" t="s">
        <v>0</v>
      </c>
      <c r="V7" t="s">
        <v>0</v>
      </c>
      <c r="W7">
        <v>0</v>
      </c>
      <c r="X7" t="s">
        <v>0</v>
      </c>
      <c r="Y7" t="s">
        <v>0</v>
      </c>
      <c r="Z7">
        <v>0</v>
      </c>
      <c r="AA7">
        <v>14</v>
      </c>
      <c r="AB7">
        <v>280</v>
      </c>
      <c r="AC7" t="s">
        <v>0</v>
      </c>
      <c r="AD7">
        <v>0</v>
      </c>
      <c r="AE7" t="s">
        <v>0</v>
      </c>
      <c r="AF7" t="s">
        <v>0</v>
      </c>
      <c r="AG7" t="s">
        <v>0</v>
      </c>
      <c r="AH7" t="s">
        <v>0</v>
      </c>
      <c r="AI7">
        <v>0</v>
      </c>
      <c r="AJ7">
        <v>400</v>
      </c>
      <c r="AK7">
        <v>60</v>
      </c>
      <c r="AL7">
        <v>740</v>
      </c>
      <c r="AM7" t="s">
        <v>0</v>
      </c>
      <c r="AN7">
        <v>0</v>
      </c>
      <c r="AO7">
        <v>740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>
        <v>0</v>
      </c>
      <c r="AV7">
        <v>0</v>
      </c>
      <c r="AW7">
        <v>740</v>
      </c>
      <c r="AX7" t="s">
        <v>0</v>
      </c>
      <c r="AY7" t="s">
        <v>0</v>
      </c>
    </row>
    <row r="8" spans="1:51">
      <c r="A8">
        <v>2</v>
      </c>
      <c r="B8" t="s">
        <v>85</v>
      </c>
      <c r="C8" t="s">
        <v>90</v>
      </c>
      <c r="D8" t="s">
        <v>91</v>
      </c>
      <c r="E8" t="s">
        <v>92</v>
      </c>
      <c r="F8" t="s">
        <v>93</v>
      </c>
      <c r="G8">
        <v>9</v>
      </c>
      <c r="H8">
        <v>3.7</v>
      </c>
      <c r="I8">
        <v>9620</v>
      </c>
      <c r="J8">
        <v>5550</v>
      </c>
      <c r="K8">
        <v>11100</v>
      </c>
      <c r="L8">
        <v>25</v>
      </c>
      <c r="M8" t="s">
        <v>0</v>
      </c>
      <c r="N8" t="s">
        <v>0</v>
      </c>
      <c r="O8">
        <v>225</v>
      </c>
      <c r="P8" t="s">
        <v>0</v>
      </c>
      <c r="Q8">
        <v>0</v>
      </c>
      <c r="R8" t="s">
        <v>0</v>
      </c>
      <c r="S8">
        <v>0</v>
      </c>
      <c r="T8" t="s">
        <v>0</v>
      </c>
      <c r="U8" t="s">
        <v>0</v>
      </c>
      <c r="V8" t="s">
        <v>0</v>
      </c>
      <c r="W8">
        <v>0</v>
      </c>
      <c r="X8" t="s">
        <v>0</v>
      </c>
      <c r="Y8" t="s">
        <v>0</v>
      </c>
      <c r="Z8">
        <v>0</v>
      </c>
      <c r="AA8">
        <v>16</v>
      </c>
      <c r="AB8">
        <v>320</v>
      </c>
      <c r="AC8" t="s">
        <v>0</v>
      </c>
      <c r="AD8">
        <v>0</v>
      </c>
      <c r="AE8" t="s">
        <v>0</v>
      </c>
      <c r="AF8" t="s">
        <v>0</v>
      </c>
      <c r="AG8" t="s">
        <v>0</v>
      </c>
      <c r="AH8" t="s">
        <v>0</v>
      </c>
      <c r="AI8">
        <v>0</v>
      </c>
      <c r="AJ8">
        <v>400</v>
      </c>
      <c r="AK8">
        <v>60</v>
      </c>
      <c r="AL8">
        <v>780</v>
      </c>
      <c r="AM8" t="s">
        <v>0</v>
      </c>
      <c r="AN8">
        <v>0</v>
      </c>
      <c r="AO8">
        <v>780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>
        <v>0</v>
      </c>
      <c r="AV8" t="s">
        <v>0</v>
      </c>
      <c r="AW8">
        <v>780</v>
      </c>
      <c r="AX8" t="s">
        <v>0</v>
      </c>
      <c r="AY8" t="s">
        <v>0</v>
      </c>
    </row>
    <row r="9" spans="1:51">
      <c r="A9">
        <v>3</v>
      </c>
      <c r="B9" t="s">
        <v>85</v>
      </c>
      <c r="C9" t="s">
        <v>94</v>
      </c>
      <c r="D9" t="s">
        <v>95</v>
      </c>
      <c r="E9" t="s">
        <v>96</v>
      </c>
      <c r="F9" t="s">
        <v>93</v>
      </c>
      <c r="G9">
        <v>9</v>
      </c>
      <c r="H9">
        <v>3.7</v>
      </c>
      <c r="I9">
        <v>9620</v>
      </c>
      <c r="J9">
        <v>5550</v>
      </c>
      <c r="K9">
        <v>11100</v>
      </c>
      <c r="L9">
        <v>25</v>
      </c>
      <c r="M9" t="s">
        <v>0</v>
      </c>
      <c r="N9" t="s">
        <v>0</v>
      </c>
      <c r="O9">
        <v>200</v>
      </c>
      <c r="P9" t="s">
        <v>0</v>
      </c>
      <c r="Q9">
        <v>0</v>
      </c>
      <c r="R9" t="s">
        <v>0</v>
      </c>
      <c r="S9">
        <v>0</v>
      </c>
      <c r="T9" t="s">
        <v>0</v>
      </c>
      <c r="U9" t="s">
        <v>0</v>
      </c>
      <c r="V9" t="s">
        <v>0</v>
      </c>
      <c r="W9">
        <v>0</v>
      </c>
      <c r="X9" t="s">
        <v>0</v>
      </c>
      <c r="Y9" t="s">
        <v>0</v>
      </c>
      <c r="Z9">
        <v>0</v>
      </c>
      <c r="AA9">
        <v>15</v>
      </c>
      <c r="AB9">
        <v>300</v>
      </c>
      <c r="AC9" t="s">
        <v>0</v>
      </c>
      <c r="AD9">
        <v>0</v>
      </c>
      <c r="AE9" t="s">
        <v>0</v>
      </c>
      <c r="AF9" t="s">
        <v>0</v>
      </c>
      <c r="AG9" t="s">
        <v>0</v>
      </c>
      <c r="AH9" t="s">
        <v>0</v>
      </c>
      <c r="AI9">
        <v>0</v>
      </c>
      <c r="AJ9">
        <v>200</v>
      </c>
      <c r="AK9">
        <v>60</v>
      </c>
      <c r="AL9">
        <v>560</v>
      </c>
      <c r="AM9" t="s">
        <v>0</v>
      </c>
      <c r="AN9">
        <v>0</v>
      </c>
      <c r="AO9">
        <v>560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>
        <v>0</v>
      </c>
      <c r="AV9" t="s">
        <v>0</v>
      </c>
      <c r="AW9">
        <v>560</v>
      </c>
      <c r="AX9" t="s">
        <v>0</v>
      </c>
      <c r="AY9" t="s">
        <v>0</v>
      </c>
    </row>
    <row r="10" spans="1:51">
      <c r="A10">
        <v>4</v>
      </c>
      <c r="B10" t="s">
        <v>85</v>
      </c>
      <c r="C10" t="s">
        <v>97</v>
      </c>
      <c r="D10" t="s">
        <v>98</v>
      </c>
      <c r="E10" t="s">
        <v>99</v>
      </c>
      <c r="F10" t="s">
        <v>100</v>
      </c>
      <c r="G10">
        <v>6</v>
      </c>
      <c r="H10">
        <v>2</v>
      </c>
      <c r="I10">
        <v>5200</v>
      </c>
      <c r="J10">
        <v>3000</v>
      </c>
      <c r="K10">
        <v>6000</v>
      </c>
      <c r="L10">
        <v>25</v>
      </c>
      <c r="M10" t="s">
        <v>0</v>
      </c>
      <c r="N10" t="s">
        <v>0</v>
      </c>
      <c r="O10">
        <v>160</v>
      </c>
      <c r="P10" t="s">
        <v>0</v>
      </c>
      <c r="Q10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>
        <v>0</v>
      </c>
      <c r="X10" t="s">
        <v>0</v>
      </c>
      <c r="Y10" t="s">
        <v>0</v>
      </c>
      <c r="Z10">
        <v>0</v>
      </c>
      <c r="AA10">
        <v>5</v>
      </c>
      <c r="AB10">
        <v>100</v>
      </c>
      <c r="AC10" t="s">
        <v>0</v>
      </c>
      <c r="AD10">
        <v>0</v>
      </c>
      <c r="AE10" t="s">
        <v>0</v>
      </c>
      <c r="AF10" t="s">
        <v>0</v>
      </c>
      <c r="AG10" t="s">
        <v>0</v>
      </c>
      <c r="AH10" t="s">
        <v>0</v>
      </c>
      <c r="AI10">
        <v>0</v>
      </c>
      <c r="AJ10">
        <v>200</v>
      </c>
      <c r="AK10">
        <v>60</v>
      </c>
      <c r="AL10">
        <v>360</v>
      </c>
      <c r="AM10" t="s">
        <v>0</v>
      </c>
      <c r="AN10">
        <v>0</v>
      </c>
      <c r="AO10">
        <v>360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>
        <v>0</v>
      </c>
      <c r="AV10" t="s">
        <v>0</v>
      </c>
      <c r="AW10">
        <v>360</v>
      </c>
      <c r="AX10" t="s">
        <v>0</v>
      </c>
      <c r="AY10" t="s">
        <v>0</v>
      </c>
    </row>
    <row r="11" spans="1:51">
      <c r="A11">
        <v>5</v>
      </c>
      <c r="B11" t="s">
        <v>85</v>
      </c>
      <c r="C11" t="s">
        <v>101</v>
      </c>
      <c r="D11" t="s">
        <v>102</v>
      </c>
      <c r="E11" t="s">
        <v>103</v>
      </c>
      <c r="F11" t="s">
        <v>35</v>
      </c>
      <c r="G11">
        <v>6</v>
      </c>
      <c r="H11">
        <v>2</v>
      </c>
      <c r="I11">
        <v>5200</v>
      </c>
      <c r="J11">
        <v>3000</v>
      </c>
      <c r="K11">
        <v>6000</v>
      </c>
      <c r="L11">
        <v>25</v>
      </c>
      <c r="M11" t="s">
        <v>0</v>
      </c>
      <c r="N11" t="s">
        <v>0</v>
      </c>
      <c r="O11">
        <v>130</v>
      </c>
      <c r="P11" t="s">
        <v>0</v>
      </c>
      <c r="Q11" t="s">
        <v>0</v>
      </c>
      <c r="R11">
        <v>0</v>
      </c>
      <c r="S11" t="s">
        <v>0</v>
      </c>
      <c r="T11" t="s">
        <v>0</v>
      </c>
      <c r="U11" t="s">
        <v>0</v>
      </c>
      <c r="V11" t="s">
        <v>0</v>
      </c>
      <c r="W11">
        <v>0</v>
      </c>
      <c r="X11" t="s">
        <v>0</v>
      </c>
      <c r="Y11" t="s">
        <v>0</v>
      </c>
      <c r="Z11">
        <v>0</v>
      </c>
      <c r="AA11">
        <v>8</v>
      </c>
      <c r="AB11">
        <v>160</v>
      </c>
      <c r="AC11" t="s">
        <v>0</v>
      </c>
      <c r="AD11">
        <v>0</v>
      </c>
      <c r="AE11" t="s">
        <v>0</v>
      </c>
      <c r="AF11" t="s">
        <v>0</v>
      </c>
      <c r="AG11" t="s">
        <v>0</v>
      </c>
      <c r="AH11" t="s">
        <v>0</v>
      </c>
      <c r="AI11">
        <v>0</v>
      </c>
      <c r="AJ11" t="s">
        <v>0</v>
      </c>
      <c r="AK11">
        <v>60</v>
      </c>
      <c r="AL11">
        <v>220</v>
      </c>
      <c r="AM11" t="s">
        <v>0</v>
      </c>
      <c r="AN11" t="s">
        <v>0</v>
      </c>
      <c r="AO11">
        <v>220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>
        <v>0</v>
      </c>
      <c r="AV11" t="s">
        <v>0</v>
      </c>
      <c r="AW11">
        <v>220</v>
      </c>
      <c r="AX11" t="s">
        <v>0</v>
      </c>
      <c r="AY11" t="s">
        <v>0</v>
      </c>
    </row>
    <row r="12" spans="1:51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</row>
    <row r="13" spans="1:51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</row>
    <row r="14" spans="1:51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</row>
    <row r="15" spans="1:51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</row>
    <row r="16" spans="1:51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</row>
    <row r="17" spans="1:51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</row>
    <row r="18" spans="1:51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</row>
    <row r="19" spans="1:51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</row>
    <row r="20" spans="1:51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</row>
    <row r="21" spans="1:51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</row>
    <row r="22" spans="1:51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</row>
    <row r="23" spans="1:51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</row>
    <row r="24" spans="1:51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</row>
    <row r="25" spans="1:51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</row>
    <row r="26" spans="1:51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</row>
    <row r="27" spans="1:51">
      <c r="A27" t="s">
        <v>104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58</v>
      </c>
      <c r="AB27">
        <v>1160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1200</v>
      </c>
      <c r="AK27">
        <v>300</v>
      </c>
      <c r="AL27">
        <v>2660</v>
      </c>
      <c r="AM27">
        <v>0</v>
      </c>
      <c r="AN27">
        <v>0</v>
      </c>
      <c r="AO27">
        <v>2660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2660</v>
      </c>
      <c r="AX27" t="s">
        <v>0</v>
      </c>
      <c r="AY27" t="s">
        <v>0</v>
      </c>
    </row>
    <row r="28" spans="1:51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</row>
    <row r="29" spans="1:51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42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43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</row>
    <row r="30" spans="1:51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</row>
    <row r="31" spans="1:51">
      <c r="A31" t="s">
        <v>44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>
        <v>5</v>
      </c>
      <c r="AF31" t="s">
        <v>0</v>
      </c>
      <c r="AG31" t="s">
        <v>45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</row>
    <row r="32" spans="1:51">
      <c r="A32" t="s">
        <v>105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2</v>
      </c>
      <c r="AQ32" t="s">
        <v>0</v>
      </c>
      <c r="AR32" t="s">
        <v>0</v>
      </c>
      <c r="AS32" t="s">
        <v>47</v>
      </c>
      <c r="AT32" t="s">
        <v>0</v>
      </c>
      <c r="AU32">
        <v>46159</v>
      </c>
      <c r="AV32" t="s">
        <v>0</v>
      </c>
      <c r="AW32" t="s">
        <v>0</v>
      </c>
      <c r="AX32" t="s">
        <v>0</v>
      </c>
      <c r="AY32" t="s">
        <v>0</v>
      </c>
    </row>
    <row r="33" spans="1:51">
      <c r="A33" t="s">
        <v>3</v>
      </c>
      <c r="B33" t="s">
        <v>4</v>
      </c>
      <c r="C33" t="s">
        <v>48</v>
      </c>
      <c r="D33" t="s">
        <v>49</v>
      </c>
      <c r="E33" t="s">
        <v>50</v>
      </c>
      <c r="F33" t="s">
        <v>51</v>
      </c>
      <c r="G33" t="s">
        <v>52</v>
      </c>
      <c r="H33" t="s">
        <v>0</v>
      </c>
      <c r="I33" t="s">
        <v>0</v>
      </c>
      <c r="J33" t="s">
        <v>0</v>
      </c>
      <c r="K33" t="s">
        <v>0</v>
      </c>
      <c r="L33" t="s">
        <v>53</v>
      </c>
      <c r="M33" t="s">
        <v>54</v>
      </c>
      <c r="N33" t="s">
        <v>0</v>
      </c>
      <c r="O33" t="s">
        <v>0</v>
      </c>
      <c r="P33" t="s">
        <v>55</v>
      </c>
      <c r="Q33" t="s">
        <v>0</v>
      </c>
      <c r="R33" t="s">
        <v>0</v>
      </c>
      <c r="S33" t="s">
        <v>9</v>
      </c>
      <c r="T33" t="s">
        <v>0</v>
      </c>
      <c r="U33" t="s">
        <v>56</v>
      </c>
      <c r="V33" t="s">
        <v>0</v>
      </c>
      <c r="W33" t="s">
        <v>0</v>
      </c>
      <c r="X33" t="s">
        <v>11</v>
      </c>
      <c r="Y33" t="s">
        <v>0</v>
      </c>
      <c r="Z33" t="s">
        <v>0</v>
      </c>
      <c r="AA33" t="s">
        <v>57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13</v>
      </c>
      <c r="AN33" t="s">
        <v>58</v>
      </c>
      <c r="AO33" t="s">
        <v>59</v>
      </c>
      <c r="AP33" t="s">
        <v>60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17</v>
      </c>
      <c r="AW33" t="s">
        <v>61</v>
      </c>
      <c r="AX33" t="s">
        <v>0</v>
      </c>
      <c r="AY33" t="s">
        <v>0</v>
      </c>
    </row>
    <row r="34" spans="1:51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62</v>
      </c>
      <c r="H34" t="s">
        <v>63</v>
      </c>
      <c r="I34" t="s">
        <v>64</v>
      </c>
      <c r="J34" t="s">
        <v>19</v>
      </c>
      <c r="K34" t="s">
        <v>20</v>
      </c>
      <c r="L34" t="s">
        <v>0</v>
      </c>
      <c r="M34" t="s">
        <v>65</v>
      </c>
      <c r="N34" t="s">
        <v>66</v>
      </c>
      <c r="O34" t="s">
        <v>0</v>
      </c>
      <c r="P34" t="s">
        <v>67</v>
      </c>
      <c r="Q34" t="s">
        <v>19</v>
      </c>
      <c r="R34" t="s">
        <v>20</v>
      </c>
      <c r="S34" t="s">
        <v>68</v>
      </c>
      <c r="T34" t="s">
        <v>22</v>
      </c>
      <c r="U34" t="s">
        <v>69</v>
      </c>
      <c r="V34" t="s">
        <v>70</v>
      </c>
      <c r="W34" t="s">
        <v>71</v>
      </c>
      <c r="X34" t="s">
        <v>72</v>
      </c>
      <c r="Y34" t="s">
        <v>73</v>
      </c>
      <c r="Z34" t="s">
        <v>71</v>
      </c>
      <c r="AA34" t="s">
        <v>74</v>
      </c>
      <c r="AB34" t="s">
        <v>0</v>
      </c>
      <c r="AC34" t="s">
        <v>75</v>
      </c>
      <c r="AD34" t="s">
        <v>0</v>
      </c>
      <c r="AE34" t="s">
        <v>25</v>
      </c>
      <c r="AF34" t="s">
        <v>0</v>
      </c>
      <c r="AG34" t="s">
        <v>0</v>
      </c>
      <c r="AH34" t="s">
        <v>0</v>
      </c>
      <c r="AI34" t="s">
        <v>0</v>
      </c>
      <c r="AJ34" t="s">
        <v>76</v>
      </c>
      <c r="AK34" t="s">
        <v>27</v>
      </c>
      <c r="AL34" t="s">
        <v>28</v>
      </c>
      <c r="AM34" t="s">
        <v>0</v>
      </c>
      <c r="AN34" t="s">
        <v>0</v>
      </c>
      <c r="AO34" t="s">
        <v>0</v>
      </c>
      <c r="AP34" t="s">
        <v>77</v>
      </c>
      <c r="AQ34" t="s">
        <v>78</v>
      </c>
      <c r="AR34" t="s">
        <v>34</v>
      </c>
      <c r="AS34" t="s">
        <v>30</v>
      </c>
      <c r="AT34" t="s">
        <v>31</v>
      </c>
      <c r="AU34" t="s">
        <v>28</v>
      </c>
      <c r="AV34" t="s">
        <v>0</v>
      </c>
      <c r="AW34" t="s">
        <v>0</v>
      </c>
      <c r="AX34" t="s">
        <v>0</v>
      </c>
      <c r="AY34" t="s">
        <v>0</v>
      </c>
    </row>
    <row r="35" spans="1:51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79</v>
      </c>
      <c r="AF35" t="s">
        <v>0</v>
      </c>
      <c r="AG35" t="s">
        <v>80</v>
      </c>
      <c r="AH35" t="s">
        <v>0</v>
      </c>
      <c r="AI35" t="s">
        <v>71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</row>
    <row r="36" spans="1:51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27</v>
      </c>
      <c r="M36" t="s">
        <v>0</v>
      </c>
      <c r="N36" t="s">
        <v>81</v>
      </c>
      <c r="O36">
        <v>327</v>
      </c>
      <c r="P36" t="s">
        <v>0</v>
      </c>
      <c r="Q36" t="s">
        <v>71</v>
      </c>
      <c r="R36" t="s">
        <v>71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82</v>
      </c>
      <c r="AB36" t="s">
        <v>71</v>
      </c>
      <c r="AC36" t="s">
        <v>73</v>
      </c>
      <c r="AD36" t="s">
        <v>71</v>
      </c>
      <c r="AE36" t="s">
        <v>83</v>
      </c>
      <c r="AF36" t="s">
        <v>84</v>
      </c>
      <c r="AG36" t="s">
        <v>83</v>
      </c>
      <c r="AH36" t="s">
        <v>84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</row>
    <row r="37" spans="1:51">
      <c r="A37">
        <v>1</v>
      </c>
      <c r="B37" t="s">
        <v>85</v>
      </c>
      <c r="C37" t="s">
        <v>106</v>
      </c>
      <c r="D37" t="s">
        <v>107</v>
      </c>
      <c r="E37" t="s">
        <v>108</v>
      </c>
      <c r="F37" t="s">
        <v>109</v>
      </c>
      <c r="G37">
        <v>6</v>
      </c>
      <c r="H37">
        <v>1.5</v>
      </c>
      <c r="I37">
        <v>4125</v>
      </c>
      <c r="J37">
        <v>2250</v>
      </c>
      <c r="K37">
        <v>4500</v>
      </c>
      <c r="L37">
        <v>27</v>
      </c>
      <c r="M37" t="s">
        <v>0</v>
      </c>
      <c r="N37" t="s">
        <v>0</v>
      </c>
      <c r="O37">
        <v>327</v>
      </c>
      <c r="P37" t="s">
        <v>0</v>
      </c>
      <c r="Q37">
        <v>0</v>
      </c>
      <c r="R37">
        <v>0</v>
      </c>
      <c r="S37">
        <v>0</v>
      </c>
      <c r="T37" t="s">
        <v>0</v>
      </c>
      <c r="U37" t="s">
        <v>0</v>
      </c>
      <c r="V37" t="s">
        <v>0</v>
      </c>
      <c r="W37">
        <v>0</v>
      </c>
      <c r="X37" t="s">
        <v>0</v>
      </c>
      <c r="Y37" t="s">
        <v>0</v>
      </c>
      <c r="Z37">
        <v>0</v>
      </c>
      <c r="AA37">
        <v>10</v>
      </c>
      <c r="AB37">
        <v>200</v>
      </c>
      <c r="AC37" t="s">
        <v>0</v>
      </c>
      <c r="AD37">
        <v>0</v>
      </c>
      <c r="AE37" t="s">
        <v>0</v>
      </c>
      <c r="AF37" t="s">
        <v>0</v>
      </c>
      <c r="AG37" t="s">
        <v>0</v>
      </c>
      <c r="AH37" t="s">
        <v>0</v>
      </c>
      <c r="AI37">
        <v>0</v>
      </c>
      <c r="AJ37" t="s">
        <v>0</v>
      </c>
      <c r="AK37">
        <v>60</v>
      </c>
      <c r="AL37">
        <v>260</v>
      </c>
      <c r="AM37" t="s">
        <v>0</v>
      </c>
      <c r="AN37">
        <v>0</v>
      </c>
      <c r="AO37">
        <v>260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>
        <v>0</v>
      </c>
      <c r="AV37" t="s">
        <v>0</v>
      </c>
      <c r="AW37">
        <v>260</v>
      </c>
      <c r="AX37" t="s">
        <v>0</v>
      </c>
      <c r="AY37" t="s">
        <v>0</v>
      </c>
    </row>
    <row r="38" spans="1:51">
      <c r="A38">
        <v>2</v>
      </c>
      <c r="B38" t="s">
        <v>85</v>
      </c>
      <c r="C38" t="s">
        <v>110</v>
      </c>
      <c r="D38" t="s">
        <v>111</v>
      </c>
      <c r="E38" t="s">
        <v>112</v>
      </c>
      <c r="F38" t="s">
        <v>109</v>
      </c>
      <c r="G38">
        <v>6</v>
      </c>
      <c r="H38">
        <v>1.8</v>
      </c>
      <c r="I38">
        <v>4950</v>
      </c>
      <c r="J38">
        <v>2700</v>
      </c>
      <c r="K38">
        <v>5400</v>
      </c>
      <c r="L38">
        <v>25</v>
      </c>
      <c r="M38" t="s">
        <v>0</v>
      </c>
      <c r="N38" t="s">
        <v>0</v>
      </c>
      <c r="O38">
        <v>242</v>
      </c>
      <c r="P38" t="s">
        <v>0</v>
      </c>
      <c r="Q38">
        <v>0</v>
      </c>
      <c r="R38">
        <v>0</v>
      </c>
      <c r="S38">
        <v>0</v>
      </c>
      <c r="T38" t="s">
        <v>0</v>
      </c>
      <c r="U38" t="s">
        <v>0</v>
      </c>
      <c r="V38" t="s">
        <v>0</v>
      </c>
      <c r="W38">
        <v>0</v>
      </c>
      <c r="X38" t="s">
        <v>0</v>
      </c>
      <c r="Y38" t="s">
        <v>0</v>
      </c>
      <c r="Z38">
        <v>0</v>
      </c>
      <c r="AA38">
        <v>10</v>
      </c>
      <c r="AB38">
        <v>200</v>
      </c>
      <c r="AC38" t="s">
        <v>0</v>
      </c>
      <c r="AD38">
        <v>0</v>
      </c>
      <c r="AE38" t="s">
        <v>0</v>
      </c>
      <c r="AF38" t="s">
        <v>0</v>
      </c>
      <c r="AG38" t="s">
        <v>0</v>
      </c>
      <c r="AH38" t="s">
        <v>0</v>
      </c>
      <c r="AI38">
        <v>0</v>
      </c>
      <c r="AJ38">
        <v>200</v>
      </c>
      <c r="AK38">
        <v>60</v>
      </c>
      <c r="AL38">
        <v>460</v>
      </c>
      <c r="AM38" t="s">
        <v>0</v>
      </c>
      <c r="AN38">
        <v>0</v>
      </c>
      <c r="AO38">
        <v>460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>
        <v>0</v>
      </c>
      <c r="AV38" t="s">
        <v>0</v>
      </c>
      <c r="AW38">
        <v>460</v>
      </c>
      <c r="AX38" t="s">
        <v>0</v>
      </c>
      <c r="AY38" t="s">
        <v>0</v>
      </c>
    </row>
    <row r="39" spans="1:51">
      <c r="A39">
        <v>3</v>
      </c>
      <c r="B39" t="s">
        <v>85</v>
      </c>
      <c r="C39" t="s">
        <v>113</v>
      </c>
      <c r="D39" t="s">
        <v>114</v>
      </c>
      <c r="E39" t="s">
        <v>115</v>
      </c>
      <c r="F39" t="s">
        <v>116</v>
      </c>
      <c r="G39">
        <v>6</v>
      </c>
      <c r="H39">
        <v>1.5</v>
      </c>
      <c r="I39">
        <v>4125</v>
      </c>
      <c r="J39">
        <v>2250</v>
      </c>
      <c r="K39">
        <v>4500</v>
      </c>
      <c r="L39">
        <v>25</v>
      </c>
      <c r="M39" t="s">
        <v>0</v>
      </c>
      <c r="N39" t="s">
        <v>0</v>
      </c>
      <c r="O39">
        <v>315</v>
      </c>
      <c r="P39" t="s">
        <v>0</v>
      </c>
      <c r="Q39">
        <v>0</v>
      </c>
      <c r="R39">
        <v>0</v>
      </c>
      <c r="S39">
        <v>0</v>
      </c>
      <c r="T39" t="s">
        <v>0</v>
      </c>
      <c r="U39" t="s">
        <v>0</v>
      </c>
      <c r="V39" t="s">
        <v>0</v>
      </c>
      <c r="W39">
        <v>0</v>
      </c>
      <c r="X39" t="s">
        <v>0</v>
      </c>
      <c r="Y39" t="s">
        <v>0</v>
      </c>
      <c r="Z39">
        <v>0</v>
      </c>
      <c r="AA39">
        <v>5</v>
      </c>
      <c r="AB39">
        <v>100</v>
      </c>
      <c r="AC39" t="s">
        <v>0</v>
      </c>
      <c r="AD39">
        <v>0</v>
      </c>
      <c r="AE39" t="s">
        <v>0</v>
      </c>
      <c r="AF39" t="s">
        <v>0</v>
      </c>
      <c r="AG39" t="s">
        <v>0</v>
      </c>
      <c r="AH39" t="s">
        <v>0</v>
      </c>
      <c r="AI39">
        <v>0</v>
      </c>
      <c r="AJ39">
        <v>200</v>
      </c>
      <c r="AK39">
        <v>60</v>
      </c>
      <c r="AL39">
        <v>360</v>
      </c>
      <c r="AM39" t="s">
        <v>0</v>
      </c>
      <c r="AN39">
        <v>0</v>
      </c>
      <c r="AO39">
        <v>360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>
        <v>0</v>
      </c>
      <c r="AV39" t="s">
        <v>0</v>
      </c>
      <c r="AW39">
        <v>360</v>
      </c>
      <c r="AX39" t="s">
        <v>0</v>
      </c>
      <c r="AY39" t="s">
        <v>0</v>
      </c>
    </row>
    <row r="40" spans="1:51">
      <c r="A40">
        <v>4</v>
      </c>
      <c r="B40" t="s">
        <v>85</v>
      </c>
      <c r="C40" t="s">
        <v>117</v>
      </c>
      <c r="D40" t="s">
        <v>118</v>
      </c>
      <c r="E40" t="s">
        <v>119</v>
      </c>
      <c r="F40" t="s">
        <v>109</v>
      </c>
      <c r="G40">
        <v>6</v>
      </c>
      <c r="H40">
        <v>1.5</v>
      </c>
      <c r="I40">
        <v>4125</v>
      </c>
      <c r="J40">
        <v>2250</v>
      </c>
      <c r="K40">
        <v>4500</v>
      </c>
      <c r="L40">
        <v>25</v>
      </c>
      <c r="M40" t="s">
        <v>0</v>
      </c>
      <c r="N40" t="s">
        <v>0</v>
      </c>
      <c r="O40">
        <v>289.5</v>
      </c>
      <c r="P40" t="s">
        <v>0</v>
      </c>
      <c r="Q40">
        <v>0</v>
      </c>
      <c r="R40">
        <v>0</v>
      </c>
      <c r="S40">
        <v>0</v>
      </c>
      <c r="T40" t="s">
        <v>0</v>
      </c>
      <c r="U40" t="s">
        <v>0</v>
      </c>
      <c r="V40" t="s">
        <v>0</v>
      </c>
      <c r="W40">
        <v>0</v>
      </c>
      <c r="X40" t="s">
        <v>0</v>
      </c>
      <c r="Y40" t="s">
        <v>0</v>
      </c>
      <c r="Z40">
        <v>0</v>
      </c>
      <c r="AA40">
        <v>6</v>
      </c>
      <c r="AB40">
        <v>120</v>
      </c>
      <c r="AC40" t="s">
        <v>0</v>
      </c>
      <c r="AD40">
        <v>0</v>
      </c>
      <c r="AE40" t="s">
        <v>0</v>
      </c>
      <c r="AF40" t="s">
        <v>0</v>
      </c>
      <c r="AG40" t="s">
        <v>0</v>
      </c>
      <c r="AH40" t="s">
        <v>0</v>
      </c>
      <c r="AI40">
        <v>0</v>
      </c>
      <c r="AJ40" t="s">
        <v>0</v>
      </c>
      <c r="AK40">
        <v>60</v>
      </c>
      <c r="AL40">
        <v>180</v>
      </c>
      <c r="AM40" t="s">
        <v>0</v>
      </c>
      <c r="AN40">
        <v>0</v>
      </c>
      <c r="AO40">
        <v>180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>
        <v>0</v>
      </c>
      <c r="AV40" t="s">
        <v>0</v>
      </c>
      <c r="AW40">
        <v>180</v>
      </c>
      <c r="AX40" t="s">
        <v>0</v>
      </c>
      <c r="AY40" t="s">
        <v>0</v>
      </c>
    </row>
    <row r="41" spans="1:51">
      <c r="A41">
        <v>5</v>
      </c>
      <c r="B41" t="s">
        <v>85</v>
      </c>
      <c r="C41" t="s">
        <v>120</v>
      </c>
      <c r="D41" t="s">
        <v>121</v>
      </c>
      <c r="E41" t="s">
        <v>122</v>
      </c>
      <c r="F41" t="s">
        <v>123</v>
      </c>
      <c r="G41">
        <v>6</v>
      </c>
      <c r="H41">
        <v>1.5</v>
      </c>
      <c r="I41">
        <v>4125</v>
      </c>
      <c r="J41">
        <v>2250</v>
      </c>
      <c r="K41">
        <v>4500</v>
      </c>
      <c r="L41">
        <v>25</v>
      </c>
      <c r="M41" t="s">
        <v>0</v>
      </c>
      <c r="N41" t="s">
        <v>0</v>
      </c>
      <c r="O41">
        <v>129.25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>
        <v>0</v>
      </c>
      <c r="X41" t="s">
        <v>0</v>
      </c>
      <c r="Y41" t="s">
        <v>0</v>
      </c>
      <c r="Z41">
        <v>0</v>
      </c>
      <c r="AA41">
        <v>2</v>
      </c>
      <c r="AB41">
        <v>40</v>
      </c>
      <c r="AC41" t="s">
        <v>0</v>
      </c>
      <c r="AD41">
        <v>0</v>
      </c>
      <c r="AE41" t="s">
        <v>0</v>
      </c>
      <c r="AF41" t="s">
        <v>0</v>
      </c>
      <c r="AG41" t="s">
        <v>0</v>
      </c>
      <c r="AH41" t="s">
        <v>0</v>
      </c>
      <c r="AI41">
        <v>0</v>
      </c>
      <c r="AJ41" t="s">
        <v>0</v>
      </c>
      <c r="AK41">
        <v>60</v>
      </c>
      <c r="AL41">
        <v>100</v>
      </c>
      <c r="AM41" t="s">
        <v>0</v>
      </c>
      <c r="AN41" t="s">
        <v>0</v>
      </c>
      <c r="AO41">
        <v>100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>
        <v>0</v>
      </c>
      <c r="AV41" t="s">
        <v>0</v>
      </c>
      <c r="AW41">
        <v>100</v>
      </c>
      <c r="AX41" t="s">
        <v>0</v>
      </c>
      <c r="AY41" t="s">
        <v>0</v>
      </c>
    </row>
    <row r="42" spans="1:51">
      <c r="A42">
        <v>6</v>
      </c>
      <c r="B42" t="s">
        <v>85</v>
      </c>
      <c r="C42" t="s">
        <v>124</v>
      </c>
      <c r="D42" t="s">
        <v>125</v>
      </c>
      <c r="E42" t="s">
        <v>126</v>
      </c>
      <c r="F42" t="s">
        <v>109</v>
      </c>
      <c r="G42">
        <v>6</v>
      </c>
      <c r="H42">
        <v>1.5</v>
      </c>
      <c r="I42">
        <v>4125</v>
      </c>
      <c r="J42">
        <v>2250</v>
      </c>
      <c r="K42">
        <v>4500</v>
      </c>
      <c r="L42">
        <v>27</v>
      </c>
      <c r="M42" t="s">
        <v>0</v>
      </c>
      <c r="N42" t="s">
        <v>0</v>
      </c>
      <c r="O42">
        <v>148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>
        <v>0</v>
      </c>
      <c r="X42" t="s">
        <v>0</v>
      </c>
      <c r="Y42" t="s">
        <v>0</v>
      </c>
      <c r="Z42">
        <v>0</v>
      </c>
      <c r="AA42">
        <v>2</v>
      </c>
      <c r="AB42">
        <v>40</v>
      </c>
      <c r="AC42" t="s">
        <v>0</v>
      </c>
      <c r="AD42">
        <v>0</v>
      </c>
      <c r="AE42" t="s">
        <v>0</v>
      </c>
      <c r="AF42" t="s">
        <v>0</v>
      </c>
      <c r="AG42" t="s">
        <v>0</v>
      </c>
      <c r="AH42" t="s">
        <v>0</v>
      </c>
      <c r="AI42">
        <v>0</v>
      </c>
      <c r="AJ42" t="s">
        <v>0</v>
      </c>
      <c r="AK42">
        <v>60</v>
      </c>
      <c r="AL42">
        <v>100</v>
      </c>
      <c r="AM42" t="s">
        <v>0</v>
      </c>
      <c r="AN42" t="s">
        <v>0</v>
      </c>
      <c r="AO42">
        <v>100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>
        <v>0</v>
      </c>
      <c r="AV42" t="s">
        <v>0</v>
      </c>
      <c r="AW42">
        <v>100</v>
      </c>
      <c r="AX42" t="s">
        <v>0</v>
      </c>
      <c r="AY42" t="s">
        <v>0</v>
      </c>
    </row>
    <row r="43" spans="1:51">
      <c r="A43">
        <v>7</v>
      </c>
      <c r="B43" t="s">
        <v>85</v>
      </c>
      <c r="C43" t="s">
        <v>127</v>
      </c>
      <c r="D43" t="s">
        <v>128</v>
      </c>
      <c r="E43" t="s">
        <v>129</v>
      </c>
      <c r="F43" t="s">
        <v>109</v>
      </c>
      <c r="G43">
        <v>6</v>
      </c>
      <c r="H43">
        <v>1.5</v>
      </c>
      <c r="I43">
        <v>4125</v>
      </c>
      <c r="J43">
        <v>2250</v>
      </c>
      <c r="K43">
        <v>4500</v>
      </c>
      <c r="L43">
        <v>24</v>
      </c>
      <c r="M43" t="s">
        <v>0</v>
      </c>
      <c r="N43" t="s">
        <v>0</v>
      </c>
      <c r="O43">
        <v>240</v>
      </c>
      <c r="P43" t="s">
        <v>0</v>
      </c>
      <c r="Q43" t="s">
        <v>0</v>
      </c>
      <c r="R43" t="s">
        <v>0</v>
      </c>
      <c r="S43">
        <v>0</v>
      </c>
      <c r="T43" t="s">
        <v>0</v>
      </c>
      <c r="U43" t="s">
        <v>0</v>
      </c>
      <c r="V43" t="s">
        <v>0</v>
      </c>
      <c r="W43">
        <v>0</v>
      </c>
      <c r="X43" t="s">
        <v>0</v>
      </c>
      <c r="Y43" t="s">
        <v>0</v>
      </c>
      <c r="Z43">
        <v>0</v>
      </c>
      <c r="AA43">
        <v>4</v>
      </c>
      <c r="AB43">
        <v>80</v>
      </c>
      <c r="AC43" t="s">
        <v>0</v>
      </c>
      <c r="AD43">
        <v>0</v>
      </c>
      <c r="AE43" t="s">
        <v>0</v>
      </c>
      <c r="AF43" t="s">
        <v>0</v>
      </c>
      <c r="AG43" t="s">
        <v>0</v>
      </c>
      <c r="AH43" t="s">
        <v>0</v>
      </c>
      <c r="AI43">
        <v>0</v>
      </c>
      <c r="AJ43">
        <v>200</v>
      </c>
      <c r="AK43">
        <v>60</v>
      </c>
      <c r="AL43">
        <v>340</v>
      </c>
      <c r="AM43" t="s">
        <v>0</v>
      </c>
      <c r="AN43">
        <v>0</v>
      </c>
      <c r="AO43">
        <v>340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>
        <v>0</v>
      </c>
      <c r="AV43" t="s">
        <v>0</v>
      </c>
      <c r="AW43">
        <v>340</v>
      </c>
      <c r="AX43" t="s">
        <v>0</v>
      </c>
      <c r="AY43" t="s">
        <v>0</v>
      </c>
    </row>
    <row r="44" spans="1:51">
      <c r="A44">
        <v>8</v>
      </c>
      <c r="B44" t="s">
        <v>85</v>
      </c>
      <c r="C44" t="s">
        <v>130</v>
      </c>
      <c r="D44" t="s">
        <v>131</v>
      </c>
      <c r="E44" t="s">
        <v>132</v>
      </c>
      <c r="F44" t="s">
        <v>123</v>
      </c>
      <c r="G44">
        <v>6</v>
      </c>
      <c r="H44">
        <v>1.5</v>
      </c>
      <c r="I44">
        <v>4125</v>
      </c>
      <c r="J44">
        <v>2250</v>
      </c>
      <c r="K44">
        <v>4500</v>
      </c>
      <c r="L44">
        <v>25</v>
      </c>
      <c r="M44" t="s">
        <v>0</v>
      </c>
      <c r="N44" t="s">
        <v>0</v>
      </c>
      <c r="O44">
        <v>252.75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>
        <v>0</v>
      </c>
      <c r="X44" t="s">
        <v>0</v>
      </c>
      <c r="Y44" t="s">
        <v>0</v>
      </c>
      <c r="Z44">
        <v>0</v>
      </c>
      <c r="AA44">
        <v>10</v>
      </c>
      <c r="AB44">
        <v>200</v>
      </c>
      <c r="AC44" t="s">
        <v>0</v>
      </c>
      <c r="AD44">
        <v>0</v>
      </c>
      <c r="AE44" t="s">
        <v>0</v>
      </c>
      <c r="AF44" t="s">
        <v>0</v>
      </c>
      <c r="AG44" t="s">
        <v>0</v>
      </c>
      <c r="AH44" t="s">
        <v>0</v>
      </c>
      <c r="AI44">
        <v>0</v>
      </c>
      <c r="AJ44" t="s">
        <v>0</v>
      </c>
      <c r="AK44">
        <v>60</v>
      </c>
      <c r="AL44">
        <v>260</v>
      </c>
      <c r="AM44" t="s">
        <v>0</v>
      </c>
      <c r="AN44" t="s">
        <v>0</v>
      </c>
      <c r="AO44">
        <v>260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>
        <v>0</v>
      </c>
      <c r="AV44" t="s">
        <v>0</v>
      </c>
      <c r="AW44">
        <v>260</v>
      </c>
      <c r="AX44" t="s">
        <v>0</v>
      </c>
      <c r="AY44" t="s">
        <v>0</v>
      </c>
    </row>
    <row r="45" spans="1:51">
      <c r="A45">
        <v>9</v>
      </c>
      <c r="B45" t="s">
        <v>85</v>
      </c>
      <c r="C45" t="s">
        <v>133</v>
      </c>
      <c r="D45" t="s">
        <v>134</v>
      </c>
      <c r="E45" t="s">
        <v>135</v>
      </c>
      <c r="F45" t="s">
        <v>123</v>
      </c>
      <c r="G45">
        <v>6</v>
      </c>
      <c r="H45">
        <v>1.5</v>
      </c>
      <c r="I45">
        <v>4125</v>
      </c>
      <c r="J45">
        <v>2250</v>
      </c>
      <c r="K45">
        <v>4500</v>
      </c>
      <c r="L45">
        <v>25</v>
      </c>
      <c r="M45" t="s">
        <v>0</v>
      </c>
      <c r="N45" t="s">
        <v>0</v>
      </c>
      <c r="O45">
        <v>293</v>
      </c>
      <c r="P45" t="s">
        <v>0</v>
      </c>
      <c r="Q45">
        <v>0</v>
      </c>
      <c r="R45">
        <v>0</v>
      </c>
      <c r="S45">
        <v>0</v>
      </c>
      <c r="T45" t="s">
        <v>0</v>
      </c>
      <c r="U45" t="s">
        <v>0</v>
      </c>
      <c r="V45" t="s">
        <v>0</v>
      </c>
      <c r="W45">
        <v>0</v>
      </c>
      <c r="X45" t="s">
        <v>0</v>
      </c>
      <c r="Y45" t="s">
        <v>0</v>
      </c>
      <c r="Z45">
        <v>0</v>
      </c>
      <c r="AA45">
        <v>2</v>
      </c>
      <c r="AB45">
        <v>40</v>
      </c>
      <c r="AC45" t="s">
        <v>0</v>
      </c>
      <c r="AD45">
        <v>0</v>
      </c>
      <c r="AE45" t="s">
        <v>0</v>
      </c>
      <c r="AF45" t="s">
        <v>0</v>
      </c>
      <c r="AG45" t="s">
        <v>0</v>
      </c>
      <c r="AH45" t="s">
        <v>0</v>
      </c>
      <c r="AI45">
        <v>0</v>
      </c>
      <c r="AJ45" t="s">
        <v>0</v>
      </c>
      <c r="AK45">
        <v>60</v>
      </c>
      <c r="AL45">
        <v>100</v>
      </c>
      <c r="AM45" t="s">
        <v>0</v>
      </c>
      <c r="AN45">
        <v>0</v>
      </c>
      <c r="AO45">
        <v>100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>
        <v>0</v>
      </c>
      <c r="AV45" t="s">
        <v>0</v>
      </c>
      <c r="AW45">
        <v>100</v>
      </c>
      <c r="AX45" t="s">
        <v>0</v>
      </c>
      <c r="AY45" t="s">
        <v>0</v>
      </c>
    </row>
    <row r="46" spans="1:51">
      <c r="A46">
        <v>10</v>
      </c>
      <c r="B46" t="s">
        <v>85</v>
      </c>
      <c r="C46" t="s">
        <v>136</v>
      </c>
      <c r="D46" t="s">
        <v>137</v>
      </c>
      <c r="E46" t="s">
        <v>138</v>
      </c>
      <c r="F46" t="s">
        <v>123</v>
      </c>
      <c r="G46">
        <v>6</v>
      </c>
      <c r="H46">
        <v>1.8</v>
      </c>
      <c r="I46">
        <v>4950</v>
      </c>
      <c r="J46">
        <v>2700</v>
      </c>
      <c r="K46">
        <v>5400</v>
      </c>
      <c r="L46">
        <v>25</v>
      </c>
      <c r="M46" t="s">
        <v>0</v>
      </c>
      <c r="N46" t="s">
        <v>0</v>
      </c>
      <c r="O46">
        <v>251.5</v>
      </c>
      <c r="P46" t="s">
        <v>0</v>
      </c>
      <c r="Q46">
        <v>0</v>
      </c>
      <c r="R46">
        <v>0</v>
      </c>
      <c r="S46">
        <v>0</v>
      </c>
      <c r="T46" t="s">
        <v>0</v>
      </c>
      <c r="U46" t="s">
        <v>0</v>
      </c>
      <c r="V46" t="s">
        <v>0</v>
      </c>
      <c r="W46">
        <v>0</v>
      </c>
      <c r="X46" t="s">
        <v>0</v>
      </c>
      <c r="Y46" t="s">
        <v>0</v>
      </c>
      <c r="Z46">
        <v>0</v>
      </c>
      <c r="AA46">
        <v>2</v>
      </c>
      <c r="AB46">
        <v>40</v>
      </c>
      <c r="AC46" t="s">
        <v>0</v>
      </c>
      <c r="AD46">
        <v>0</v>
      </c>
      <c r="AE46" t="s">
        <v>0</v>
      </c>
      <c r="AF46" t="s">
        <v>0</v>
      </c>
      <c r="AG46" t="s">
        <v>0</v>
      </c>
      <c r="AH46" t="s">
        <v>0</v>
      </c>
      <c r="AI46">
        <v>0</v>
      </c>
      <c r="AJ46" t="s">
        <v>0</v>
      </c>
      <c r="AK46">
        <v>60</v>
      </c>
      <c r="AL46">
        <v>100</v>
      </c>
      <c r="AM46" t="s">
        <v>0</v>
      </c>
      <c r="AN46">
        <v>0</v>
      </c>
      <c r="AO46">
        <v>100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>
        <v>0</v>
      </c>
      <c r="AV46" t="s">
        <v>0</v>
      </c>
      <c r="AW46">
        <v>100</v>
      </c>
      <c r="AX46" t="s">
        <v>0</v>
      </c>
      <c r="AY46" t="s">
        <v>0</v>
      </c>
    </row>
    <row r="47" spans="1:51">
      <c r="A47">
        <v>11</v>
      </c>
      <c r="B47" t="s">
        <v>85</v>
      </c>
      <c r="C47" t="s">
        <v>139</v>
      </c>
      <c r="D47" t="s">
        <v>140</v>
      </c>
      <c r="E47" t="s">
        <v>141</v>
      </c>
      <c r="F47" t="s">
        <v>109</v>
      </c>
      <c r="G47">
        <v>6</v>
      </c>
      <c r="H47">
        <v>1.5</v>
      </c>
      <c r="I47">
        <v>4125</v>
      </c>
      <c r="J47">
        <v>2250</v>
      </c>
      <c r="K47">
        <v>4500</v>
      </c>
      <c r="L47">
        <v>25</v>
      </c>
      <c r="M47" t="s">
        <v>0</v>
      </c>
      <c r="N47" t="s">
        <v>0</v>
      </c>
      <c r="O47">
        <v>238.5</v>
      </c>
      <c r="P47" t="s">
        <v>0</v>
      </c>
      <c r="Q47" t="s">
        <v>0</v>
      </c>
      <c r="R47" t="s">
        <v>0</v>
      </c>
      <c r="S47">
        <v>0</v>
      </c>
      <c r="T47" t="s">
        <v>0</v>
      </c>
      <c r="U47" t="s">
        <v>0</v>
      </c>
      <c r="V47" t="s">
        <v>0</v>
      </c>
      <c r="W47">
        <v>0</v>
      </c>
      <c r="X47" t="s">
        <v>0</v>
      </c>
      <c r="Y47" t="s">
        <v>0</v>
      </c>
      <c r="Z47">
        <v>0</v>
      </c>
      <c r="AA47">
        <v>4</v>
      </c>
      <c r="AB47">
        <v>80</v>
      </c>
      <c r="AC47" t="s">
        <v>0</v>
      </c>
      <c r="AD47">
        <v>0</v>
      </c>
      <c r="AE47" t="s">
        <v>0</v>
      </c>
      <c r="AF47" t="s">
        <v>0</v>
      </c>
      <c r="AG47" t="s">
        <v>0</v>
      </c>
      <c r="AH47" t="s">
        <v>0</v>
      </c>
      <c r="AI47">
        <v>0</v>
      </c>
      <c r="AJ47" t="s">
        <v>0</v>
      </c>
      <c r="AK47">
        <v>60</v>
      </c>
      <c r="AL47">
        <v>140</v>
      </c>
      <c r="AM47" t="s">
        <v>0</v>
      </c>
      <c r="AN47">
        <v>0</v>
      </c>
      <c r="AO47">
        <v>140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>
        <v>0</v>
      </c>
      <c r="AV47" t="s">
        <v>0</v>
      </c>
      <c r="AW47">
        <v>140</v>
      </c>
      <c r="AX47" t="s">
        <v>0</v>
      </c>
      <c r="AY47" t="s">
        <v>0</v>
      </c>
    </row>
    <row r="48" spans="1:51">
      <c r="A48">
        <v>12</v>
      </c>
      <c r="B48" t="s">
        <v>85</v>
      </c>
      <c r="C48" t="s">
        <v>142</v>
      </c>
      <c r="D48" t="s">
        <v>143</v>
      </c>
      <c r="E48" t="s">
        <v>144</v>
      </c>
      <c r="F48" t="s">
        <v>123</v>
      </c>
      <c r="G48">
        <v>6</v>
      </c>
      <c r="H48">
        <v>1.5</v>
      </c>
      <c r="I48">
        <v>4125</v>
      </c>
      <c r="J48">
        <v>2250</v>
      </c>
      <c r="K48">
        <v>4500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>
        <v>0</v>
      </c>
      <c r="X48" t="s">
        <v>0</v>
      </c>
      <c r="Y48" t="s">
        <v>0</v>
      </c>
      <c r="Z48">
        <v>0</v>
      </c>
      <c r="AA48">
        <v>10</v>
      </c>
      <c r="AB48">
        <v>200</v>
      </c>
      <c r="AC48" t="s">
        <v>0</v>
      </c>
      <c r="AD48">
        <v>0</v>
      </c>
      <c r="AE48" t="s">
        <v>0</v>
      </c>
      <c r="AF48" t="s">
        <v>0</v>
      </c>
      <c r="AG48" t="s">
        <v>0</v>
      </c>
      <c r="AH48" t="s">
        <v>0</v>
      </c>
      <c r="AI48">
        <v>0</v>
      </c>
      <c r="AJ48" t="s">
        <v>0</v>
      </c>
      <c r="AK48">
        <v>60</v>
      </c>
      <c r="AL48">
        <v>260</v>
      </c>
      <c r="AM48" t="s">
        <v>0</v>
      </c>
      <c r="AN48" t="s">
        <v>0</v>
      </c>
      <c r="AO48">
        <v>260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>
        <v>0</v>
      </c>
      <c r="AV48" t="s">
        <v>0</v>
      </c>
      <c r="AW48">
        <v>260</v>
      </c>
      <c r="AX48" t="s">
        <v>0</v>
      </c>
      <c r="AY48" t="s">
        <v>0</v>
      </c>
    </row>
    <row r="49" spans="1:51">
      <c r="A49">
        <v>13</v>
      </c>
      <c r="B49" t="s">
        <v>85</v>
      </c>
      <c r="C49" t="s">
        <v>145</v>
      </c>
      <c r="D49" t="s">
        <v>146</v>
      </c>
      <c r="E49" t="s">
        <v>147</v>
      </c>
      <c r="F49" t="s">
        <v>148</v>
      </c>
      <c r="G49">
        <v>6</v>
      </c>
      <c r="H49">
        <v>1.5</v>
      </c>
      <c r="I49">
        <v>4125</v>
      </c>
      <c r="J49">
        <v>2250</v>
      </c>
      <c r="K49">
        <v>4500</v>
      </c>
      <c r="L49">
        <v>27</v>
      </c>
      <c r="M49" t="s">
        <v>0</v>
      </c>
      <c r="N49" t="s">
        <v>0</v>
      </c>
      <c r="O49">
        <v>357</v>
      </c>
      <c r="P49" t="s">
        <v>0</v>
      </c>
      <c r="Q49" t="s">
        <v>0</v>
      </c>
      <c r="R49" t="s">
        <v>0</v>
      </c>
      <c r="S49">
        <v>0</v>
      </c>
      <c r="T49" t="s">
        <v>0</v>
      </c>
      <c r="U49" t="s">
        <v>0</v>
      </c>
      <c r="V49" t="s">
        <v>0</v>
      </c>
      <c r="W49">
        <v>0</v>
      </c>
      <c r="X49" t="s">
        <v>0</v>
      </c>
      <c r="Y49" t="s">
        <v>0</v>
      </c>
      <c r="Z49">
        <v>0</v>
      </c>
      <c r="AA49">
        <v>9</v>
      </c>
      <c r="AB49">
        <v>180</v>
      </c>
      <c r="AC49" t="s">
        <v>0</v>
      </c>
      <c r="AD49">
        <v>0</v>
      </c>
      <c r="AE49" t="s">
        <v>0</v>
      </c>
      <c r="AF49" t="s">
        <v>0</v>
      </c>
      <c r="AG49" t="s">
        <v>0</v>
      </c>
      <c r="AH49" t="s">
        <v>0</v>
      </c>
      <c r="AI49">
        <v>0</v>
      </c>
      <c r="AJ49" t="s">
        <v>0</v>
      </c>
      <c r="AK49">
        <v>60</v>
      </c>
      <c r="AL49">
        <v>240</v>
      </c>
      <c r="AM49" t="s">
        <v>0</v>
      </c>
      <c r="AN49">
        <v>0</v>
      </c>
      <c r="AO49">
        <v>240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>
        <v>0</v>
      </c>
      <c r="AV49" t="s">
        <v>0</v>
      </c>
      <c r="AW49">
        <v>240</v>
      </c>
      <c r="AX49" t="s">
        <v>0</v>
      </c>
      <c r="AY49" t="s">
        <v>0</v>
      </c>
    </row>
    <row r="50" spans="1:51">
      <c r="A50">
        <v>14</v>
      </c>
      <c r="B50" t="s">
        <v>85</v>
      </c>
      <c r="C50" t="s">
        <v>149</v>
      </c>
      <c r="D50" t="s">
        <v>150</v>
      </c>
      <c r="E50" t="s">
        <v>151</v>
      </c>
      <c r="F50" t="s">
        <v>109</v>
      </c>
      <c r="G50">
        <v>6</v>
      </c>
      <c r="H50">
        <v>1.5</v>
      </c>
      <c r="I50">
        <v>4125</v>
      </c>
      <c r="J50">
        <v>2250</v>
      </c>
      <c r="K50">
        <v>4500</v>
      </c>
      <c r="L50">
        <v>16</v>
      </c>
      <c r="M50" t="s">
        <v>0</v>
      </c>
      <c r="N50" t="s">
        <v>0</v>
      </c>
      <c r="O50">
        <v>172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>
        <v>0</v>
      </c>
      <c r="X50" t="s">
        <v>0</v>
      </c>
      <c r="Y50" t="s">
        <v>0</v>
      </c>
      <c r="Z50">
        <v>0</v>
      </c>
      <c r="AA50">
        <v>6</v>
      </c>
      <c r="AB50">
        <v>120</v>
      </c>
      <c r="AC50" t="s">
        <v>0</v>
      </c>
      <c r="AD50">
        <v>0</v>
      </c>
      <c r="AE50" t="s">
        <v>0</v>
      </c>
      <c r="AF50" t="s">
        <v>0</v>
      </c>
      <c r="AG50" t="s">
        <v>0</v>
      </c>
      <c r="AH50" t="s">
        <v>0</v>
      </c>
      <c r="AI50">
        <v>0</v>
      </c>
      <c r="AJ50" t="s">
        <v>0</v>
      </c>
      <c r="AK50">
        <v>60</v>
      </c>
      <c r="AL50">
        <v>180</v>
      </c>
      <c r="AM50" t="s">
        <v>0</v>
      </c>
      <c r="AN50" t="s">
        <v>0</v>
      </c>
      <c r="AO50">
        <v>180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>
        <v>0</v>
      </c>
      <c r="AV50" t="s">
        <v>0</v>
      </c>
      <c r="AW50">
        <v>180</v>
      </c>
      <c r="AX50" t="s">
        <v>0</v>
      </c>
      <c r="AY50" t="s">
        <v>0</v>
      </c>
    </row>
    <row r="51" spans="1:51">
      <c r="A51">
        <v>15</v>
      </c>
      <c r="B51" t="s">
        <v>85</v>
      </c>
      <c r="C51" t="s">
        <v>152</v>
      </c>
      <c r="D51" t="s">
        <v>153</v>
      </c>
      <c r="E51" t="s">
        <v>154</v>
      </c>
      <c r="F51" t="s">
        <v>109</v>
      </c>
      <c r="G51">
        <v>6</v>
      </c>
      <c r="H51">
        <v>1.8</v>
      </c>
      <c r="I51">
        <v>4950</v>
      </c>
      <c r="J51">
        <v>2700</v>
      </c>
      <c r="K51">
        <v>5400</v>
      </c>
      <c r="L51">
        <v>27</v>
      </c>
      <c r="M51" t="s">
        <v>0</v>
      </c>
      <c r="N51" t="s">
        <v>0</v>
      </c>
      <c r="O51">
        <v>334</v>
      </c>
      <c r="P51" t="s">
        <v>0</v>
      </c>
      <c r="Q51" t="s">
        <v>0</v>
      </c>
      <c r="R51" t="s">
        <v>0</v>
      </c>
      <c r="S51">
        <v>0</v>
      </c>
      <c r="T51" t="s">
        <v>0</v>
      </c>
      <c r="U51" t="s">
        <v>0</v>
      </c>
      <c r="V51" t="s">
        <v>0</v>
      </c>
      <c r="W51">
        <v>0</v>
      </c>
      <c r="X51" t="s">
        <v>0</v>
      </c>
      <c r="Y51" t="s">
        <v>0</v>
      </c>
      <c r="Z51">
        <v>0</v>
      </c>
      <c r="AA51">
        <v>17</v>
      </c>
      <c r="AB51">
        <v>340</v>
      </c>
      <c r="AC51" t="s">
        <v>0</v>
      </c>
      <c r="AD51">
        <v>0</v>
      </c>
      <c r="AE51" t="s">
        <v>0</v>
      </c>
      <c r="AF51" t="s">
        <v>0</v>
      </c>
      <c r="AG51" t="s">
        <v>0</v>
      </c>
      <c r="AH51" t="s">
        <v>0</v>
      </c>
      <c r="AI51">
        <v>0</v>
      </c>
      <c r="AJ51" t="s">
        <v>0</v>
      </c>
      <c r="AK51">
        <v>60</v>
      </c>
      <c r="AL51">
        <v>400</v>
      </c>
      <c r="AM51" t="s">
        <v>0</v>
      </c>
      <c r="AN51">
        <v>0</v>
      </c>
      <c r="AO51">
        <v>400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>
        <v>0</v>
      </c>
      <c r="AV51" t="s">
        <v>0</v>
      </c>
      <c r="AW51">
        <v>400</v>
      </c>
      <c r="AX51" t="s">
        <v>0</v>
      </c>
      <c r="AY51" t="s">
        <v>0</v>
      </c>
    </row>
    <row r="52" spans="1:51">
      <c r="A52">
        <v>16</v>
      </c>
      <c r="B52" t="s">
        <v>85</v>
      </c>
      <c r="C52" t="s">
        <v>155</v>
      </c>
      <c r="D52" t="s">
        <v>156</v>
      </c>
      <c r="E52" t="s">
        <v>157</v>
      </c>
      <c r="F52" t="s">
        <v>109</v>
      </c>
      <c r="G52">
        <v>6</v>
      </c>
      <c r="H52">
        <v>1.5</v>
      </c>
      <c r="I52">
        <v>4125</v>
      </c>
      <c r="J52">
        <v>2250</v>
      </c>
      <c r="K52">
        <v>4500</v>
      </c>
      <c r="L52">
        <v>21</v>
      </c>
      <c r="M52" t="s">
        <v>0</v>
      </c>
      <c r="N52" t="s">
        <v>0</v>
      </c>
      <c r="O52">
        <v>243</v>
      </c>
      <c r="P52" t="s">
        <v>0</v>
      </c>
      <c r="Q52">
        <v>0</v>
      </c>
      <c r="R52">
        <v>0</v>
      </c>
      <c r="S52">
        <v>0</v>
      </c>
      <c r="T52" t="s">
        <v>0</v>
      </c>
      <c r="U52" t="s">
        <v>0</v>
      </c>
      <c r="V52" t="s">
        <v>0</v>
      </c>
      <c r="W52">
        <v>0</v>
      </c>
      <c r="X52" t="s">
        <v>0</v>
      </c>
      <c r="Y52" t="s">
        <v>0</v>
      </c>
      <c r="Z52">
        <v>0</v>
      </c>
      <c r="AA52">
        <v>2</v>
      </c>
      <c r="AB52">
        <v>40</v>
      </c>
      <c r="AC52" t="s">
        <v>0</v>
      </c>
      <c r="AD52">
        <v>0</v>
      </c>
      <c r="AE52" t="s">
        <v>0</v>
      </c>
      <c r="AF52" t="s">
        <v>0</v>
      </c>
      <c r="AG52" t="s">
        <v>0</v>
      </c>
      <c r="AH52" t="s">
        <v>0</v>
      </c>
      <c r="AI52">
        <v>0</v>
      </c>
      <c r="AJ52" t="s">
        <v>0</v>
      </c>
      <c r="AK52">
        <v>60</v>
      </c>
      <c r="AL52">
        <v>100</v>
      </c>
      <c r="AM52" t="s">
        <v>0</v>
      </c>
      <c r="AN52">
        <v>0</v>
      </c>
      <c r="AO52">
        <v>100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>
        <v>0</v>
      </c>
      <c r="AV52" t="s">
        <v>0</v>
      </c>
      <c r="AW52">
        <v>100</v>
      </c>
      <c r="AX52" t="s">
        <v>0</v>
      </c>
      <c r="AY52" t="s">
        <v>0</v>
      </c>
    </row>
    <row r="53" spans="1:51">
      <c r="A53">
        <v>17</v>
      </c>
      <c r="B53" t="s">
        <v>85</v>
      </c>
      <c r="C53" t="s">
        <v>158</v>
      </c>
      <c r="D53" t="s">
        <v>159</v>
      </c>
      <c r="E53" t="s">
        <v>160</v>
      </c>
      <c r="F53" t="s">
        <v>109</v>
      </c>
      <c r="G53">
        <v>6</v>
      </c>
      <c r="H53">
        <v>1.5</v>
      </c>
      <c r="I53">
        <v>4125</v>
      </c>
      <c r="J53">
        <v>2250</v>
      </c>
      <c r="K53">
        <v>4500</v>
      </c>
      <c r="L53">
        <v>26</v>
      </c>
      <c r="M53" t="s">
        <v>0</v>
      </c>
      <c r="N53" t="s">
        <v>0</v>
      </c>
      <c r="O53">
        <v>264.75</v>
      </c>
      <c r="P53" t="s">
        <v>0</v>
      </c>
      <c r="Q53" t="s">
        <v>0</v>
      </c>
      <c r="R53" t="s">
        <v>0</v>
      </c>
      <c r="S53">
        <v>0</v>
      </c>
      <c r="T53" t="s">
        <v>0</v>
      </c>
      <c r="U53" t="s">
        <v>0</v>
      </c>
      <c r="V53" t="s">
        <v>0</v>
      </c>
      <c r="W53">
        <v>0</v>
      </c>
      <c r="X53" t="s">
        <v>0</v>
      </c>
      <c r="Y53" t="s">
        <v>0</v>
      </c>
      <c r="Z53">
        <v>0</v>
      </c>
      <c r="AA53">
        <v>4</v>
      </c>
      <c r="AB53">
        <v>80</v>
      </c>
      <c r="AC53" t="s">
        <v>0</v>
      </c>
      <c r="AD53">
        <v>0</v>
      </c>
      <c r="AE53" t="s">
        <v>0</v>
      </c>
      <c r="AF53" t="s">
        <v>0</v>
      </c>
      <c r="AG53" t="s">
        <v>0</v>
      </c>
      <c r="AH53" t="s">
        <v>0</v>
      </c>
      <c r="AI53">
        <v>0</v>
      </c>
      <c r="AJ53">
        <v>200</v>
      </c>
      <c r="AK53">
        <v>60</v>
      </c>
      <c r="AL53">
        <v>340</v>
      </c>
      <c r="AM53" t="s">
        <v>0</v>
      </c>
      <c r="AN53">
        <v>0</v>
      </c>
      <c r="AO53">
        <v>340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>
        <v>0</v>
      </c>
      <c r="AV53" t="s">
        <v>0</v>
      </c>
      <c r="AW53">
        <v>340</v>
      </c>
      <c r="AX53" t="s">
        <v>0</v>
      </c>
      <c r="AY53" t="s">
        <v>0</v>
      </c>
    </row>
    <row r="54" spans="1:51">
      <c r="A54">
        <v>18</v>
      </c>
      <c r="B54" t="s">
        <v>85</v>
      </c>
      <c r="C54" t="s">
        <v>161</v>
      </c>
      <c r="D54" t="s">
        <v>162</v>
      </c>
      <c r="E54" t="s">
        <v>163</v>
      </c>
      <c r="F54" t="s">
        <v>109</v>
      </c>
      <c r="G54">
        <v>6</v>
      </c>
      <c r="H54">
        <v>1.5</v>
      </c>
      <c r="I54">
        <v>4125</v>
      </c>
      <c r="J54">
        <v>2250</v>
      </c>
      <c r="K54">
        <v>4500</v>
      </c>
      <c r="L54">
        <v>25</v>
      </c>
      <c r="M54" t="s">
        <v>0</v>
      </c>
      <c r="N54" t="s">
        <v>0</v>
      </c>
      <c r="O54">
        <v>261.5</v>
      </c>
      <c r="P54" t="s">
        <v>0</v>
      </c>
      <c r="Q54" t="s">
        <v>0</v>
      </c>
      <c r="R54" t="s">
        <v>0</v>
      </c>
      <c r="S54">
        <v>0</v>
      </c>
      <c r="T54" t="s">
        <v>0</v>
      </c>
      <c r="U54" t="s">
        <v>0</v>
      </c>
      <c r="V54" t="s">
        <v>0</v>
      </c>
      <c r="W54">
        <v>0</v>
      </c>
      <c r="X54" t="s">
        <v>0</v>
      </c>
      <c r="Y54" t="s">
        <v>0</v>
      </c>
      <c r="Z54">
        <v>0</v>
      </c>
      <c r="AA54">
        <v>4</v>
      </c>
      <c r="AB54">
        <v>80</v>
      </c>
      <c r="AC54" t="s">
        <v>0</v>
      </c>
      <c r="AD54">
        <v>0</v>
      </c>
      <c r="AE54" t="s">
        <v>0</v>
      </c>
      <c r="AF54" t="s">
        <v>0</v>
      </c>
      <c r="AG54" t="s">
        <v>0</v>
      </c>
      <c r="AH54" t="s">
        <v>0</v>
      </c>
      <c r="AI54">
        <v>0</v>
      </c>
      <c r="AJ54">
        <v>200</v>
      </c>
      <c r="AK54">
        <v>60</v>
      </c>
      <c r="AL54">
        <v>340</v>
      </c>
      <c r="AM54" t="s">
        <v>0</v>
      </c>
      <c r="AN54">
        <v>0</v>
      </c>
      <c r="AO54">
        <v>340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>
        <v>0</v>
      </c>
      <c r="AV54" t="s">
        <v>0</v>
      </c>
      <c r="AW54">
        <v>340</v>
      </c>
      <c r="AX54" t="s">
        <v>0</v>
      </c>
      <c r="AY54" t="s">
        <v>0</v>
      </c>
    </row>
    <row r="55" spans="1:51">
      <c r="A55">
        <v>19</v>
      </c>
      <c r="B55" t="s">
        <v>85</v>
      </c>
      <c r="C55" t="s">
        <v>164</v>
      </c>
      <c r="D55" t="s">
        <v>165</v>
      </c>
      <c r="E55" t="s">
        <v>166</v>
      </c>
      <c r="F55" t="s">
        <v>109</v>
      </c>
      <c r="G55">
        <v>6</v>
      </c>
      <c r="H55">
        <v>1.5</v>
      </c>
      <c r="I55">
        <v>4125</v>
      </c>
      <c r="J55">
        <v>2250</v>
      </c>
      <c r="K55">
        <v>4500</v>
      </c>
      <c r="L55">
        <v>25</v>
      </c>
      <c r="M55" t="s">
        <v>0</v>
      </c>
      <c r="N55" t="s">
        <v>0</v>
      </c>
      <c r="O55">
        <v>172.5</v>
      </c>
      <c r="P55" t="s">
        <v>0</v>
      </c>
      <c r="Q55" t="s">
        <v>0</v>
      </c>
      <c r="R55" t="s">
        <v>0</v>
      </c>
      <c r="S55">
        <v>0</v>
      </c>
      <c r="T55" t="s">
        <v>0</v>
      </c>
      <c r="U55" t="s">
        <v>0</v>
      </c>
      <c r="V55" t="s">
        <v>0</v>
      </c>
      <c r="W55">
        <v>0</v>
      </c>
      <c r="X55" t="s">
        <v>0</v>
      </c>
      <c r="Y55" t="s">
        <v>0</v>
      </c>
      <c r="Z55">
        <v>0</v>
      </c>
      <c r="AA55">
        <v>6</v>
      </c>
      <c r="AB55">
        <v>120</v>
      </c>
      <c r="AC55" t="s">
        <v>0</v>
      </c>
      <c r="AD55">
        <v>0</v>
      </c>
      <c r="AE55" t="s">
        <v>0</v>
      </c>
      <c r="AF55" t="s">
        <v>0</v>
      </c>
      <c r="AG55" t="s">
        <v>0</v>
      </c>
      <c r="AH55" t="s">
        <v>0</v>
      </c>
      <c r="AI55">
        <v>0</v>
      </c>
      <c r="AJ55" t="s">
        <v>0</v>
      </c>
      <c r="AK55">
        <v>60</v>
      </c>
      <c r="AL55">
        <v>180</v>
      </c>
      <c r="AM55" t="s">
        <v>0</v>
      </c>
      <c r="AN55">
        <v>0</v>
      </c>
      <c r="AO55">
        <v>180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>
        <v>0</v>
      </c>
      <c r="AV55" t="s">
        <v>0</v>
      </c>
      <c r="AW55">
        <v>180</v>
      </c>
      <c r="AX55" t="s">
        <v>0</v>
      </c>
      <c r="AY55" t="s">
        <v>0</v>
      </c>
    </row>
    <row r="56" spans="1:51">
      <c r="A56">
        <v>20</v>
      </c>
      <c r="B56" t="s">
        <v>85</v>
      </c>
      <c r="C56" t="s">
        <v>167</v>
      </c>
      <c r="D56" t="s">
        <v>168</v>
      </c>
      <c r="E56" t="s">
        <v>169</v>
      </c>
      <c r="F56" t="s">
        <v>109</v>
      </c>
      <c r="G56">
        <v>6</v>
      </c>
      <c r="H56">
        <v>1.5</v>
      </c>
      <c r="I56">
        <v>4125</v>
      </c>
      <c r="J56">
        <v>2250</v>
      </c>
      <c r="K56">
        <v>4500</v>
      </c>
      <c r="L56">
        <v>25</v>
      </c>
      <c r="M56" t="s">
        <v>0</v>
      </c>
      <c r="N56" t="s">
        <v>0</v>
      </c>
      <c r="O56">
        <v>215</v>
      </c>
      <c r="P56" t="s">
        <v>0</v>
      </c>
      <c r="Q56">
        <v>0</v>
      </c>
      <c r="R56">
        <v>0</v>
      </c>
      <c r="S56">
        <v>0</v>
      </c>
      <c r="T56" t="s">
        <v>0</v>
      </c>
      <c r="U56" t="s">
        <v>0</v>
      </c>
      <c r="V56" t="s">
        <v>0</v>
      </c>
      <c r="W56">
        <v>0</v>
      </c>
      <c r="X56" t="s">
        <v>0</v>
      </c>
      <c r="Y56" t="s">
        <v>0</v>
      </c>
      <c r="Z56">
        <v>0</v>
      </c>
      <c r="AA56">
        <v>2</v>
      </c>
      <c r="AB56">
        <v>40</v>
      </c>
      <c r="AC56" t="s">
        <v>0</v>
      </c>
      <c r="AD56">
        <v>0</v>
      </c>
      <c r="AE56" t="s">
        <v>0</v>
      </c>
      <c r="AF56" t="s">
        <v>0</v>
      </c>
      <c r="AG56" t="s">
        <v>0</v>
      </c>
      <c r="AH56" t="s">
        <v>0</v>
      </c>
      <c r="AI56">
        <v>0</v>
      </c>
      <c r="AJ56" t="s">
        <v>0</v>
      </c>
      <c r="AK56">
        <v>60</v>
      </c>
      <c r="AL56">
        <v>100</v>
      </c>
      <c r="AM56" t="s">
        <v>0</v>
      </c>
      <c r="AN56">
        <v>0</v>
      </c>
      <c r="AO56">
        <v>100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>
        <v>0</v>
      </c>
      <c r="AV56" t="s">
        <v>0</v>
      </c>
      <c r="AW56">
        <v>100</v>
      </c>
      <c r="AX56" t="s">
        <v>0</v>
      </c>
      <c r="AY56" t="s">
        <v>0</v>
      </c>
    </row>
    <row r="57" spans="1:51">
      <c r="A57" t="s">
        <v>170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117</v>
      </c>
      <c r="AB57">
        <v>2340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1000</v>
      </c>
      <c r="AK57">
        <v>1200</v>
      </c>
      <c r="AL57">
        <v>4540</v>
      </c>
      <c r="AM57">
        <v>0</v>
      </c>
      <c r="AN57">
        <v>0</v>
      </c>
      <c r="AO57">
        <v>4540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4540</v>
      </c>
      <c r="AX57" t="s">
        <v>0</v>
      </c>
      <c r="AY57" t="s">
        <v>0</v>
      </c>
    </row>
    <row r="58" spans="1:51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</row>
    <row r="59" spans="1:51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42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43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</row>
    <row r="60" spans="1:51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</row>
    <row r="61" spans="1:51">
      <c r="A61" t="s">
        <v>44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>
        <v>5</v>
      </c>
      <c r="AF61" t="s">
        <v>0</v>
      </c>
      <c r="AG61" t="s">
        <v>45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</row>
    <row r="62" spans="1:51">
      <c r="A62" t="s">
        <v>105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2</v>
      </c>
      <c r="AQ62" t="s">
        <v>0</v>
      </c>
      <c r="AR62" t="s">
        <v>0</v>
      </c>
      <c r="AS62" t="s">
        <v>47</v>
      </c>
      <c r="AT62" t="s">
        <v>0</v>
      </c>
      <c r="AU62">
        <v>46159</v>
      </c>
      <c r="AV62" t="s">
        <v>0</v>
      </c>
      <c r="AW62" t="s">
        <v>0</v>
      </c>
      <c r="AX62" t="s">
        <v>0</v>
      </c>
      <c r="AY62" t="s">
        <v>0</v>
      </c>
    </row>
    <row r="63" spans="1:51">
      <c r="A63" t="s">
        <v>3</v>
      </c>
      <c r="B63" t="s">
        <v>4</v>
      </c>
      <c r="C63" t="s">
        <v>48</v>
      </c>
      <c r="D63" t="s">
        <v>49</v>
      </c>
      <c r="E63" t="s">
        <v>50</v>
      </c>
      <c r="F63" t="s">
        <v>51</v>
      </c>
      <c r="G63" t="s">
        <v>52</v>
      </c>
      <c r="H63" t="s">
        <v>0</v>
      </c>
      <c r="I63" t="s">
        <v>0</v>
      </c>
      <c r="J63" t="s">
        <v>0</v>
      </c>
      <c r="K63" t="s">
        <v>0</v>
      </c>
      <c r="L63" t="s">
        <v>53</v>
      </c>
      <c r="M63" t="s">
        <v>54</v>
      </c>
      <c r="N63" t="s">
        <v>0</v>
      </c>
      <c r="O63" t="s">
        <v>0</v>
      </c>
      <c r="P63" t="s">
        <v>55</v>
      </c>
      <c r="Q63" t="s">
        <v>0</v>
      </c>
      <c r="R63" t="s">
        <v>0</v>
      </c>
      <c r="S63" t="s">
        <v>9</v>
      </c>
      <c r="T63" t="s">
        <v>0</v>
      </c>
      <c r="U63" t="s">
        <v>56</v>
      </c>
      <c r="V63" t="s">
        <v>0</v>
      </c>
      <c r="W63" t="s">
        <v>0</v>
      </c>
      <c r="X63" t="s">
        <v>11</v>
      </c>
      <c r="Y63" t="s">
        <v>0</v>
      </c>
      <c r="Z63" t="s">
        <v>0</v>
      </c>
      <c r="AA63" t="s">
        <v>57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13</v>
      </c>
      <c r="AN63" t="s">
        <v>58</v>
      </c>
      <c r="AO63" t="s">
        <v>59</v>
      </c>
      <c r="AP63" t="s">
        <v>60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17</v>
      </c>
      <c r="AW63" t="s">
        <v>61</v>
      </c>
      <c r="AX63" t="s">
        <v>0</v>
      </c>
      <c r="AY63" t="s">
        <v>0</v>
      </c>
    </row>
    <row r="64" spans="1:51">
      <c r="A64" t="s">
        <v>0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62</v>
      </c>
      <c r="H64" t="s">
        <v>63</v>
      </c>
      <c r="I64" t="s">
        <v>64</v>
      </c>
      <c r="J64" t="s">
        <v>19</v>
      </c>
      <c r="K64" t="s">
        <v>20</v>
      </c>
      <c r="L64" t="s">
        <v>0</v>
      </c>
      <c r="M64" t="s">
        <v>65</v>
      </c>
      <c r="N64" t="s">
        <v>66</v>
      </c>
      <c r="O64" t="s">
        <v>0</v>
      </c>
      <c r="P64" t="s">
        <v>67</v>
      </c>
      <c r="Q64" t="s">
        <v>19</v>
      </c>
      <c r="R64" t="s">
        <v>20</v>
      </c>
      <c r="S64" t="s">
        <v>68</v>
      </c>
      <c r="T64" t="s">
        <v>22</v>
      </c>
      <c r="U64" t="s">
        <v>69</v>
      </c>
      <c r="V64" t="s">
        <v>70</v>
      </c>
      <c r="W64" t="s">
        <v>71</v>
      </c>
      <c r="X64" t="s">
        <v>72</v>
      </c>
      <c r="Y64" t="s">
        <v>73</v>
      </c>
      <c r="Z64" t="s">
        <v>71</v>
      </c>
      <c r="AA64" t="s">
        <v>74</v>
      </c>
      <c r="AB64" t="s">
        <v>0</v>
      </c>
      <c r="AC64" t="s">
        <v>75</v>
      </c>
      <c r="AD64" t="s">
        <v>0</v>
      </c>
      <c r="AE64" t="s">
        <v>25</v>
      </c>
      <c r="AF64" t="s">
        <v>0</v>
      </c>
      <c r="AG64" t="s">
        <v>0</v>
      </c>
      <c r="AH64" t="s">
        <v>0</v>
      </c>
      <c r="AI64" t="s">
        <v>0</v>
      </c>
      <c r="AJ64" t="s">
        <v>76</v>
      </c>
      <c r="AK64" t="s">
        <v>27</v>
      </c>
      <c r="AL64" t="s">
        <v>28</v>
      </c>
      <c r="AM64" t="s">
        <v>0</v>
      </c>
      <c r="AN64" t="s">
        <v>0</v>
      </c>
      <c r="AO64" t="s">
        <v>0</v>
      </c>
      <c r="AP64" t="s">
        <v>77</v>
      </c>
      <c r="AQ64" t="s">
        <v>78</v>
      </c>
      <c r="AR64" t="s">
        <v>34</v>
      </c>
      <c r="AS64" t="s">
        <v>30</v>
      </c>
      <c r="AT64" t="s">
        <v>31</v>
      </c>
      <c r="AU64" t="s">
        <v>28</v>
      </c>
      <c r="AV64" t="s">
        <v>0</v>
      </c>
      <c r="AW64" t="s">
        <v>0</v>
      </c>
      <c r="AX64" t="s">
        <v>0</v>
      </c>
      <c r="AY64" t="s">
        <v>0</v>
      </c>
    </row>
    <row r="65" spans="1:51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79</v>
      </c>
      <c r="AF65" t="s">
        <v>0</v>
      </c>
      <c r="AG65" t="s">
        <v>80</v>
      </c>
      <c r="AH65" t="s">
        <v>0</v>
      </c>
      <c r="AI65" t="s">
        <v>71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</row>
    <row r="66" spans="1:51">
      <c r="A66" t="s">
        <v>0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>
        <v>25</v>
      </c>
      <c r="M66" t="s">
        <v>0</v>
      </c>
      <c r="N66" t="s">
        <v>81</v>
      </c>
      <c r="O66">
        <v>291.5</v>
      </c>
      <c r="P66" t="s">
        <v>0</v>
      </c>
      <c r="Q66" t="s">
        <v>71</v>
      </c>
      <c r="R66" t="s">
        <v>71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82</v>
      </c>
      <c r="AB66" t="s">
        <v>71</v>
      </c>
      <c r="AC66" t="s">
        <v>73</v>
      </c>
      <c r="AD66" t="s">
        <v>71</v>
      </c>
      <c r="AE66" t="s">
        <v>83</v>
      </c>
      <c r="AF66" t="s">
        <v>84</v>
      </c>
      <c r="AG66" t="s">
        <v>83</v>
      </c>
      <c r="AH66" t="s">
        <v>84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</row>
    <row r="67" spans="1:51">
      <c r="A67">
        <v>21</v>
      </c>
      <c r="B67" t="s">
        <v>85</v>
      </c>
      <c r="C67" t="s">
        <v>171</v>
      </c>
      <c r="D67" t="s">
        <v>172</v>
      </c>
      <c r="E67" t="s">
        <v>173</v>
      </c>
      <c r="F67" t="s">
        <v>109</v>
      </c>
      <c r="G67">
        <v>6</v>
      </c>
      <c r="H67">
        <v>1.5</v>
      </c>
      <c r="I67">
        <v>4125</v>
      </c>
      <c r="J67">
        <v>2250</v>
      </c>
      <c r="K67">
        <v>4500</v>
      </c>
      <c r="L67">
        <v>25</v>
      </c>
      <c r="M67" t="s">
        <v>0</v>
      </c>
      <c r="N67" t="s">
        <v>0</v>
      </c>
      <c r="O67">
        <v>291.5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>
        <v>0</v>
      </c>
      <c r="X67" t="s">
        <v>0</v>
      </c>
      <c r="Y67" t="s">
        <v>0</v>
      </c>
      <c r="Z67">
        <v>0</v>
      </c>
      <c r="AA67">
        <v>3</v>
      </c>
      <c r="AB67">
        <v>60</v>
      </c>
      <c r="AC67" t="s">
        <v>0</v>
      </c>
      <c r="AD67">
        <v>0</v>
      </c>
      <c r="AE67" t="s">
        <v>0</v>
      </c>
      <c r="AF67" t="s">
        <v>0</v>
      </c>
      <c r="AG67" t="s">
        <v>0</v>
      </c>
      <c r="AH67" t="s">
        <v>0</v>
      </c>
      <c r="AI67">
        <v>0</v>
      </c>
      <c r="AJ67" t="s">
        <v>0</v>
      </c>
      <c r="AK67">
        <v>60</v>
      </c>
      <c r="AL67">
        <v>120</v>
      </c>
      <c r="AM67" t="s">
        <v>0</v>
      </c>
      <c r="AN67" t="s">
        <v>0</v>
      </c>
      <c r="AO67">
        <v>120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>
        <v>0</v>
      </c>
      <c r="AV67" t="s">
        <v>0</v>
      </c>
      <c r="AW67">
        <v>120</v>
      </c>
      <c r="AX67" t="s">
        <v>0</v>
      </c>
      <c r="AY67" t="s">
        <v>0</v>
      </c>
    </row>
    <row r="68" spans="1:51">
      <c r="A68">
        <v>22</v>
      </c>
      <c r="B68" t="s">
        <v>85</v>
      </c>
      <c r="C68" t="s">
        <v>174</v>
      </c>
      <c r="D68" t="s">
        <v>175</v>
      </c>
      <c r="E68" t="s">
        <v>176</v>
      </c>
      <c r="F68" t="s">
        <v>109</v>
      </c>
      <c r="G68">
        <v>6</v>
      </c>
      <c r="H68">
        <v>1.5</v>
      </c>
      <c r="I68">
        <v>4125</v>
      </c>
      <c r="J68">
        <v>2250</v>
      </c>
      <c r="K68">
        <v>4500</v>
      </c>
      <c r="L68">
        <v>25</v>
      </c>
      <c r="M68" t="s">
        <v>0</v>
      </c>
      <c r="N68" t="s">
        <v>0</v>
      </c>
      <c r="O68">
        <v>263.5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>
        <v>0</v>
      </c>
      <c r="X68" t="s">
        <v>0</v>
      </c>
      <c r="Y68" t="s">
        <v>0</v>
      </c>
      <c r="Z68">
        <v>0</v>
      </c>
      <c r="AA68">
        <v>2</v>
      </c>
      <c r="AB68">
        <v>40</v>
      </c>
      <c r="AC68" t="s">
        <v>0</v>
      </c>
      <c r="AD68">
        <v>0</v>
      </c>
      <c r="AE68" t="s">
        <v>0</v>
      </c>
      <c r="AF68" t="s">
        <v>0</v>
      </c>
      <c r="AG68" t="s">
        <v>0</v>
      </c>
      <c r="AH68" t="s">
        <v>0</v>
      </c>
      <c r="AI68">
        <v>0</v>
      </c>
      <c r="AJ68" t="s">
        <v>0</v>
      </c>
      <c r="AK68">
        <v>60</v>
      </c>
      <c r="AL68">
        <v>100</v>
      </c>
      <c r="AM68" t="s">
        <v>0</v>
      </c>
      <c r="AN68" t="s">
        <v>0</v>
      </c>
      <c r="AO68">
        <v>100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>
        <v>0</v>
      </c>
      <c r="AV68" t="s">
        <v>0</v>
      </c>
      <c r="AW68">
        <v>100</v>
      </c>
      <c r="AX68" t="s">
        <v>0</v>
      </c>
      <c r="AY68" t="s">
        <v>0</v>
      </c>
    </row>
    <row r="69" spans="1:51">
      <c r="A69">
        <v>23</v>
      </c>
      <c r="B69" t="s">
        <v>85</v>
      </c>
      <c r="C69" t="s">
        <v>177</v>
      </c>
      <c r="D69" t="s">
        <v>178</v>
      </c>
      <c r="E69" t="s">
        <v>179</v>
      </c>
      <c r="F69" t="s">
        <v>109</v>
      </c>
      <c r="G69">
        <v>6</v>
      </c>
      <c r="H69">
        <v>1.5</v>
      </c>
      <c r="I69">
        <v>4125</v>
      </c>
      <c r="J69">
        <v>2250</v>
      </c>
      <c r="K69">
        <v>4500</v>
      </c>
      <c r="L69">
        <v>10</v>
      </c>
      <c r="M69" t="s">
        <v>0</v>
      </c>
      <c r="N69" t="s">
        <v>0</v>
      </c>
      <c r="O69">
        <v>42.5</v>
      </c>
      <c r="P69" t="s">
        <v>0</v>
      </c>
      <c r="Q69">
        <v>0</v>
      </c>
      <c r="R69">
        <v>0</v>
      </c>
      <c r="S69">
        <v>0</v>
      </c>
      <c r="T69" t="s">
        <v>0</v>
      </c>
      <c r="U69" t="s">
        <v>0</v>
      </c>
      <c r="V69" t="s">
        <v>0</v>
      </c>
      <c r="W69">
        <v>0</v>
      </c>
      <c r="X69" t="s">
        <v>0</v>
      </c>
      <c r="Y69" t="s">
        <v>0</v>
      </c>
      <c r="Z69">
        <v>0</v>
      </c>
      <c r="AA69">
        <v>6</v>
      </c>
      <c r="AB69">
        <v>120</v>
      </c>
      <c r="AC69" t="s">
        <v>0</v>
      </c>
      <c r="AD69">
        <v>0</v>
      </c>
      <c r="AE69" t="s">
        <v>0</v>
      </c>
      <c r="AF69" t="s">
        <v>0</v>
      </c>
      <c r="AG69" t="s">
        <v>0</v>
      </c>
      <c r="AH69" t="s">
        <v>0</v>
      </c>
      <c r="AI69">
        <v>0</v>
      </c>
      <c r="AJ69">
        <v>200</v>
      </c>
      <c r="AK69">
        <v>60</v>
      </c>
      <c r="AL69">
        <v>380</v>
      </c>
      <c r="AM69" t="s">
        <v>0</v>
      </c>
      <c r="AN69">
        <v>0</v>
      </c>
      <c r="AO69">
        <v>380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>
        <v>0</v>
      </c>
      <c r="AV69" t="s">
        <v>0</v>
      </c>
      <c r="AW69">
        <v>380</v>
      </c>
      <c r="AX69" t="s">
        <v>0</v>
      </c>
      <c r="AY69" t="s">
        <v>0</v>
      </c>
    </row>
    <row r="70" spans="1:51">
      <c r="A70">
        <v>24</v>
      </c>
      <c r="B70" t="s">
        <v>85</v>
      </c>
      <c r="C70" t="s">
        <v>180</v>
      </c>
      <c r="D70" t="s">
        <v>181</v>
      </c>
      <c r="E70" t="s">
        <v>182</v>
      </c>
      <c r="F70" t="s">
        <v>109</v>
      </c>
      <c r="G70">
        <v>6</v>
      </c>
      <c r="H70">
        <v>1.4</v>
      </c>
      <c r="I70">
        <v>3850</v>
      </c>
      <c r="J70">
        <v>2100</v>
      </c>
      <c r="K70">
        <v>4200</v>
      </c>
      <c r="L70">
        <v>25</v>
      </c>
      <c r="M70" t="s">
        <v>0</v>
      </c>
      <c r="N70" t="s">
        <v>0</v>
      </c>
      <c r="O70">
        <v>273</v>
      </c>
      <c r="P70" t="s">
        <v>0</v>
      </c>
      <c r="Q70">
        <v>0</v>
      </c>
      <c r="R70">
        <v>0</v>
      </c>
      <c r="S70" t="s">
        <v>0</v>
      </c>
      <c r="T70" t="s">
        <v>0</v>
      </c>
      <c r="U70" t="s">
        <v>0</v>
      </c>
      <c r="V70" t="s">
        <v>0</v>
      </c>
      <c r="W70">
        <v>0</v>
      </c>
      <c r="X70" t="s">
        <v>0</v>
      </c>
      <c r="Y70" t="s">
        <v>0</v>
      </c>
      <c r="Z70">
        <v>0</v>
      </c>
      <c r="AA70">
        <v>4</v>
      </c>
      <c r="AB70">
        <v>80</v>
      </c>
      <c r="AC70" t="s">
        <v>0</v>
      </c>
      <c r="AD70">
        <v>0</v>
      </c>
      <c r="AE70" t="s">
        <v>0</v>
      </c>
      <c r="AF70" t="s">
        <v>0</v>
      </c>
      <c r="AG70" t="s">
        <v>0</v>
      </c>
      <c r="AH70" t="s">
        <v>0</v>
      </c>
      <c r="AI70">
        <v>0</v>
      </c>
      <c r="AJ70" t="s">
        <v>0</v>
      </c>
      <c r="AK70">
        <v>60</v>
      </c>
      <c r="AL70">
        <v>140</v>
      </c>
      <c r="AM70" t="s">
        <v>0</v>
      </c>
      <c r="AN70" t="s">
        <v>0</v>
      </c>
      <c r="AO70">
        <v>140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>
        <v>0</v>
      </c>
      <c r="AV70" t="s">
        <v>0</v>
      </c>
      <c r="AW70">
        <v>140</v>
      </c>
      <c r="AX70" t="s">
        <v>0</v>
      </c>
      <c r="AY70" t="s">
        <v>0</v>
      </c>
    </row>
    <row r="71" spans="1:51">
      <c r="A71">
        <v>25</v>
      </c>
      <c r="B71" t="s">
        <v>85</v>
      </c>
      <c r="C71" t="s">
        <v>183</v>
      </c>
      <c r="D71" t="s">
        <v>184</v>
      </c>
      <c r="E71" t="s">
        <v>185</v>
      </c>
      <c r="F71" t="s">
        <v>109</v>
      </c>
      <c r="G71">
        <v>6</v>
      </c>
      <c r="H71">
        <v>1.4</v>
      </c>
      <c r="I71">
        <v>3850</v>
      </c>
      <c r="J71">
        <v>2100</v>
      </c>
      <c r="K71">
        <v>4200</v>
      </c>
      <c r="L71">
        <v>24</v>
      </c>
      <c r="M71" t="s">
        <v>0</v>
      </c>
      <c r="N71" t="s">
        <v>0</v>
      </c>
      <c r="O71">
        <v>276</v>
      </c>
      <c r="P71" t="s">
        <v>0</v>
      </c>
      <c r="Q71">
        <v>0</v>
      </c>
      <c r="R71">
        <v>0</v>
      </c>
      <c r="S71" t="s">
        <v>0</v>
      </c>
      <c r="T71" t="s">
        <v>0</v>
      </c>
      <c r="U71" t="s">
        <v>0</v>
      </c>
      <c r="V71" t="s">
        <v>0</v>
      </c>
      <c r="W71">
        <v>0</v>
      </c>
      <c r="X71" t="s">
        <v>0</v>
      </c>
      <c r="Y71" t="s">
        <v>0</v>
      </c>
      <c r="Z71">
        <v>0</v>
      </c>
      <c r="AA71">
        <v>4</v>
      </c>
      <c r="AB71">
        <v>80</v>
      </c>
      <c r="AC71" t="s">
        <v>0</v>
      </c>
      <c r="AD71">
        <v>0</v>
      </c>
      <c r="AE71" t="s">
        <v>0</v>
      </c>
      <c r="AF71" t="s">
        <v>0</v>
      </c>
      <c r="AG71" t="s">
        <v>0</v>
      </c>
      <c r="AH71" t="s">
        <v>0</v>
      </c>
      <c r="AI71">
        <v>0</v>
      </c>
      <c r="AJ71" t="s">
        <v>0</v>
      </c>
      <c r="AK71">
        <v>60</v>
      </c>
      <c r="AL71">
        <v>140</v>
      </c>
      <c r="AM71" t="s">
        <v>0</v>
      </c>
      <c r="AN71">
        <v>0</v>
      </c>
      <c r="AO71">
        <v>140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>
        <v>0</v>
      </c>
      <c r="AV71" t="s">
        <v>0</v>
      </c>
      <c r="AW71">
        <v>140</v>
      </c>
      <c r="AX71" t="s">
        <v>0</v>
      </c>
      <c r="AY71" t="s">
        <v>0</v>
      </c>
    </row>
    <row r="72" spans="1:51">
      <c r="A72">
        <v>26</v>
      </c>
      <c r="B72" t="s">
        <v>85</v>
      </c>
      <c r="C72" t="s">
        <v>186</v>
      </c>
      <c r="D72" t="s">
        <v>187</v>
      </c>
      <c r="E72" t="s">
        <v>188</v>
      </c>
      <c r="F72" t="s">
        <v>109</v>
      </c>
      <c r="G72">
        <v>6</v>
      </c>
      <c r="H72">
        <v>1.5</v>
      </c>
      <c r="I72">
        <v>4125</v>
      </c>
      <c r="J72">
        <v>2250</v>
      </c>
      <c r="K72">
        <v>4500</v>
      </c>
      <c r="L72">
        <v>25</v>
      </c>
      <c r="M72" t="s">
        <v>0</v>
      </c>
      <c r="N72" t="s">
        <v>0</v>
      </c>
      <c r="O72">
        <v>283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>
        <v>0</v>
      </c>
      <c r="X72" t="s">
        <v>0</v>
      </c>
      <c r="Y72" t="s">
        <v>0</v>
      </c>
      <c r="Z72">
        <v>0</v>
      </c>
      <c r="AA72">
        <v>2</v>
      </c>
      <c r="AB72">
        <v>40</v>
      </c>
      <c r="AC72" t="s">
        <v>0</v>
      </c>
      <c r="AD72">
        <v>0</v>
      </c>
      <c r="AE72" t="s">
        <v>0</v>
      </c>
      <c r="AF72" t="s">
        <v>0</v>
      </c>
      <c r="AG72" t="s">
        <v>0</v>
      </c>
      <c r="AH72" t="s">
        <v>0</v>
      </c>
      <c r="AI72">
        <v>0</v>
      </c>
      <c r="AJ72" t="s">
        <v>0</v>
      </c>
      <c r="AK72">
        <v>60</v>
      </c>
      <c r="AL72">
        <v>100</v>
      </c>
      <c r="AM72" t="s">
        <v>0</v>
      </c>
      <c r="AN72" t="s">
        <v>0</v>
      </c>
      <c r="AO72">
        <v>100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>
        <v>0</v>
      </c>
      <c r="AV72" t="s">
        <v>0</v>
      </c>
      <c r="AW72">
        <v>100</v>
      </c>
      <c r="AX72" t="s">
        <v>0</v>
      </c>
      <c r="AY72" t="s">
        <v>0</v>
      </c>
    </row>
    <row r="73" spans="1:51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</row>
    <row r="74" spans="1:51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</row>
    <row r="75" spans="1:51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</row>
    <row r="76" spans="1:51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</row>
    <row r="77" spans="1:51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</row>
    <row r="78" spans="1:51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</row>
    <row r="79" spans="1:51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</row>
    <row r="80" spans="1:51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</row>
    <row r="81" spans="1:51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</row>
    <row r="82" spans="1:51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</row>
    <row r="83" spans="1:51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</row>
    <row r="84" spans="1:51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</row>
    <row r="85" spans="1:51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</row>
    <row r="86" spans="1:51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</row>
    <row r="87" spans="1:51">
      <c r="A87" t="s">
        <v>170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21</v>
      </c>
      <c r="AB87">
        <v>420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200</v>
      </c>
      <c r="AK87">
        <v>360</v>
      </c>
      <c r="AL87">
        <v>980</v>
      </c>
      <c r="AM87">
        <v>0</v>
      </c>
      <c r="AN87">
        <v>0</v>
      </c>
      <c r="AO87">
        <v>980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980</v>
      </c>
      <c r="AX87" t="s">
        <v>0</v>
      </c>
      <c r="AY87" t="s">
        <v>0</v>
      </c>
    </row>
    <row r="88" spans="1:51">
      <c r="A88" t="s">
        <v>189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138</v>
      </c>
      <c r="AB88">
        <v>2760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1200</v>
      </c>
      <c r="AK88">
        <v>1560</v>
      </c>
      <c r="AL88">
        <v>5520</v>
      </c>
      <c r="AM88">
        <v>0</v>
      </c>
      <c r="AN88">
        <v>0</v>
      </c>
      <c r="AO88">
        <v>5520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5520</v>
      </c>
      <c r="AX88" t="s">
        <v>0</v>
      </c>
      <c r="AY88" t="s">
        <v>0</v>
      </c>
    </row>
    <row r="89" spans="1:51">
      <c r="A89" t="s">
        <v>190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196</v>
      </c>
      <c r="AB89">
        <v>3920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2400</v>
      </c>
      <c r="AK89">
        <v>1860</v>
      </c>
      <c r="AL89">
        <v>8180</v>
      </c>
      <c r="AM89">
        <v>0</v>
      </c>
      <c r="AN89">
        <v>0</v>
      </c>
      <c r="AO89">
        <v>8180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8180</v>
      </c>
      <c r="AX89" t="s">
        <v>0</v>
      </c>
      <c r="AY89" t="s">
        <v>0</v>
      </c>
    </row>
    <row r="90" spans="1:51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</row>
    <row r="91" spans="1:51">
      <c r="A91" t="s">
        <v>0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42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43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</row>
  </sheetData>
  <mergeCells count="197">
    <mergeCell ref="A2:AD2"/>
    <mergeCell ref="AE2:AF2"/>
    <mergeCell ref="AG2:AW2"/>
    <mergeCell ref="A3:R3"/>
    <mergeCell ref="AP3:AR3"/>
    <mergeCell ref="AS3:AT3"/>
    <mergeCell ref="AU3:AW3"/>
    <mergeCell ref="G4:K4"/>
    <mergeCell ref="M4:O4"/>
    <mergeCell ref="P4:R4"/>
    <mergeCell ref="S4:T4"/>
    <mergeCell ref="U4:W4"/>
    <mergeCell ref="X4:Z4"/>
    <mergeCell ref="AA4:AL4"/>
    <mergeCell ref="AP4:AU4"/>
    <mergeCell ref="AE5:AI5"/>
    <mergeCell ref="AE6:AF6"/>
    <mergeCell ref="AG6:AH6"/>
    <mergeCell ref="A28:F28"/>
    <mergeCell ref="A30:H30"/>
    <mergeCell ref="L30:T30"/>
    <mergeCell ref="W30:AC30"/>
    <mergeCell ref="AI30:AO30"/>
    <mergeCell ref="A32:AD32"/>
    <mergeCell ref="AE32:AF32"/>
    <mergeCell ref="AG32:AW32"/>
    <mergeCell ref="A33:R33"/>
    <mergeCell ref="AP33:AR33"/>
    <mergeCell ref="AS33:AT33"/>
    <mergeCell ref="AU33:AW33"/>
    <mergeCell ref="G34:K34"/>
    <mergeCell ref="M34:O34"/>
    <mergeCell ref="P34:R34"/>
    <mergeCell ref="S34:T34"/>
    <mergeCell ref="U34:W34"/>
    <mergeCell ref="X34:Z34"/>
    <mergeCell ref="AA34:AL34"/>
    <mergeCell ref="AP34:AU34"/>
    <mergeCell ref="AE35:AI35"/>
    <mergeCell ref="AE36:AF36"/>
    <mergeCell ref="AG36:AH36"/>
    <mergeCell ref="A58:F58"/>
    <mergeCell ref="A60:H60"/>
    <mergeCell ref="L60:T60"/>
    <mergeCell ref="W60:AC60"/>
    <mergeCell ref="AI60:AO60"/>
    <mergeCell ref="A62:AD62"/>
    <mergeCell ref="AE62:AF62"/>
    <mergeCell ref="AG62:AW62"/>
    <mergeCell ref="A63:R63"/>
    <mergeCell ref="AP63:AR63"/>
    <mergeCell ref="AS63:AT63"/>
    <mergeCell ref="AU63:AW63"/>
    <mergeCell ref="G64:K64"/>
    <mergeCell ref="M64:O64"/>
    <mergeCell ref="P64:R64"/>
    <mergeCell ref="S64:T64"/>
    <mergeCell ref="U64:W64"/>
    <mergeCell ref="X64:Z64"/>
    <mergeCell ref="AA64:AL64"/>
    <mergeCell ref="AP64:AU64"/>
    <mergeCell ref="AE65:AI65"/>
    <mergeCell ref="AE66:AF66"/>
    <mergeCell ref="AG66:AH66"/>
    <mergeCell ref="A88:F88"/>
    <mergeCell ref="A89:F89"/>
    <mergeCell ref="A90:F90"/>
    <mergeCell ref="A92:H92"/>
    <mergeCell ref="L92:T92"/>
    <mergeCell ref="W92:AC92"/>
    <mergeCell ref="AI92:AO92"/>
    <mergeCell ref="A4:A7"/>
    <mergeCell ref="A34:A37"/>
    <mergeCell ref="A64:A67"/>
    <mergeCell ref="B4:B7"/>
    <mergeCell ref="B34:B37"/>
    <mergeCell ref="B64:B67"/>
    <mergeCell ref="C4:C7"/>
    <mergeCell ref="C34:C37"/>
    <mergeCell ref="C64:C67"/>
    <mergeCell ref="D4:D7"/>
    <mergeCell ref="D34:D37"/>
    <mergeCell ref="D64:D67"/>
    <mergeCell ref="E4:E7"/>
    <mergeCell ref="E34:E37"/>
    <mergeCell ref="E64:E67"/>
    <mergeCell ref="F4:F7"/>
    <mergeCell ref="F34:F37"/>
    <mergeCell ref="F64:F67"/>
    <mergeCell ref="G5:G7"/>
    <mergeCell ref="G35:G37"/>
    <mergeCell ref="G65:G67"/>
    <mergeCell ref="H5:H7"/>
    <mergeCell ref="H35:H37"/>
    <mergeCell ref="H65:H67"/>
    <mergeCell ref="I5:I7"/>
    <mergeCell ref="I35:I37"/>
    <mergeCell ref="I65:I67"/>
    <mergeCell ref="J5:J7"/>
    <mergeCell ref="J35:J37"/>
    <mergeCell ref="J65:J67"/>
    <mergeCell ref="K5:K7"/>
    <mergeCell ref="K35:K37"/>
    <mergeCell ref="K65:K67"/>
    <mergeCell ref="L4:L7"/>
    <mergeCell ref="L34:L37"/>
    <mergeCell ref="L64:L67"/>
    <mergeCell ref="M5:M7"/>
    <mergeCell ref="M35:M37"/>
    <mergeCell ref="M65:M67"/>
    <mergeCell ref="P5:P7"/>
    <mergeCell ref="P35:P37"/>
    <mergeCell ref="P65:P67"/>
    <mergeCell ref="Q5:Q6"/>
    <mergeCell ref="Q35:Q36"/>
    <mergeCell ref="Q65:Q66"/>
    <mergeCell ref="R5:R6"/>
    <mergeCell ref="R35:R36"/>
    <mergeCell ref="R65:R66"/>
    <mergeCell ref="S5:S7"/>
    <mergeCell ref="S35:S37"/>
    <mergeCell ref="S65:S67"/>
    <mergeCell ref="T5:T7"/>
    <mergeCell ref="T35:T37"/>
    <mergeCell ref="T65:T67"/>
    <mergeCell ref="U5:U7"/>
    <mergeCell ref="U35:U37"/>
    <mergeCell ref="U65:U67"/>
    <mergeCell ref="V5:V7"/>
    <mergeCell ref="V35:V37"/>
    <mergeCell ref="V65:V67"/>
    <mergeCell ref="W5:W7"/>
    <mergeCell ref="W35:W37"/>
    <mergeCell ref="W65:W67"/>
    <mergeCell ref="X5:X7"/>
    <mergeCell ref="X35:X37"/>
    <mergeCell ref="X65:X67"/>
    <mergeCell ref="Y5:Y7"/>
    <mergeCell ref="Y35:Y37"/>
    <mergeCell ref="Y65:Y67"/>
    <mergeCell ref="Z5:Z7"/>
    <mergeCell ref="Z35:Z37"/>
    <mergeCell ref="Z65:Z67"/>
    <mergeCell ref="AI6:AI7"/>
    <mergeCell ref="AI36:AI37"/>
    <mergeCell ref="AI66:AI67"/>
    <mergeCell ref="AJ5:AJ7"/>
    <mergeCell ref="AJ35:AJ37"/>
    <mergeCell ref="AJ65:AJ67"/>
    <mergeCell ref="AK5:AK7"/>
    <mergeCell ref="AK35:AK37"/>
    <mergeCell ref="AK65:AK67"/>
    <mergeCell ref="AL5:AL7"/>
    <mergeCell ref="AL35:AL37"/>
    <mergeCell ref="AL65:AL67"/>
    <mergeCell ref="AM4:AM7"/>
    <mergeCell ref="AM34:AM37"/>
    <mergeCell ref="AM64:AM67"/>
    <mergeCell ref="AN4:AN7"/>
    <mergeCell ref="AN34:AN37"/>
    <mergeCell ref="AN64:AN67"/>
    <mergeCell ref="AO4:AO7"/>
    <mergeCell ref="AO34:AO37"/>
    <mergeCell ref="AO64:AO67"/>
    <mergeCell ref="AP5:AP7"/>
    <mergeCell ref="AP35:AP37"/>
    <mergeCell ref="AP65:AP67"/>
    <mergeCell ref="AQ5:AQ7"/>
    <mergeCell ref="AQ35:AQ37"/>
    <mergeCell ref="AQ65:AQ67"/>
    <mergeCell ref="AR5:AR7"/>
    <mergeCell ref="AR35:AR37"/>
    <mergeCell ref="AR65:AR67"/>
    <mergeCell ref="AS5:AS7"/>
    <mergeCell ref="AS35:AS37"/>
    <mergeCell ref="AS65:AS67"/>
    <mergeCell ref="AT5:AT7"/>
    <mergeCell ref="AT35:AT37"/>
    <mergeCell ref="AT65:AT67"/>
    <mergeCell ref="AU5:AU7"/>
    <mergeCell ref="AU35:AU37"/>
    <mergeCell ref="AU65:AU67"/>
    <mergeCell ref="AV4:AV7"/>
    <mergeCell ref="AV34:AV37"/>
    <mergeCell ref="AV64:AV67"/>
    <mergeCell ref="AW4:AW7"/>
    <mergeCell ref="AW34:AW37"/>
    <mergeCell ref="AW64:AW67"/>
    <mergeCell ref="AA5:AB6"/>
    <mergeCell ref="AC5:AD6"/>
    <mergeCell ref="N5:O6"/>
    <mergeCell ref="N35:O36"/>
    <mergeCell ref="AA35:AB36"/>
    <mergeCell ref="AC35:AD36"/>
    <mergeCell ref="N65:O66"/>
    <mergeCell ref="AA65:AB66"/>
    <mergeCell ref="AC65:AD66"/>
  </mergeCells>
  <pageMargins left="0.75" right="0.75" top="1" bottom="1" header="0.5" footer="0.5"/>
  <headerFooter/>
  <ignoredErrors>
    <ignoredError sqref="A1:AY9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selection activeCell="A1" sqref="A1:V1"/>
    </sheetView>
  </sheetViews>
  <sheetFormatPr defaultColWidth="9" defaultRowHeight="15.6"/>
  <sheetData>
    <row r="1" spans="1:22">
      <c r="A1" t="s">
        <v>191</v>
      </c>
    </row>
    <row r="2" spans="1:22">
      <c r="A2" t="s">
        <v>13</v>
      </c>
      <c r="R2" t="s">
        <v>192</v>
      </c>
    </row>
    <row r="3" spans="1:22">
      <c r="A3" t="s">
        <v>3</v>
      </c>
      <c r="B3" t="s">
        <v>193</v>
      </c>
      <c r="C3" t="s">
        <v>194</v>
      </c>
      <c r="D3" t="s">
        <v>195</v>
      </c>
      <c r="Q3" t="s">
        <v>196</v>
      </c>
      <c r="R3" t="s">
        <v>197</v>
      </c>
      <c r="S3" t="s">
        <v>198</v>
      </c>
      <c r="V3" t="s">
        <v>199</v>
      </c>
    </row>
    <row r="4" spans="1:22">
      <c r="A4">
        <v>1</v>
      </c>
      <c r="B4" t="s">
        <v>200</v>
      </c>
      <c r="C4" t="s">
        <v>201</v>
      </c>
      <c r="D4" t="s">
        <v>202</v>
      </c>
      <c r="Q4">
        <f>P4+O4+N4+M4+L4+K4+J4+I4+G4+F4+E4+H4</f>
        <v>0</v>
      </c>
      <c r="S4">
        <v>0</v>
      </c>
      <c r="V4">
        <f t="shared" ref="V4:V26" si="0">SUM(R4:U4)</f>
        <v>0</v>
      </c>
    </row>
    <row r="5" spans="1:22">
      <c r="A5">
        <v>2</v>
      </c>
      <c r="B5" t="s">
        <v>87</v>
      </c>
      <c r="C5" t="s">
        <v>88</v>
      </c>
      <c r="D5" t="s">
        <v>93</v>
      </c>
      <c r="S5">
        <v>200</v>
      </c>
      <c r="V5">
        <f t="shared" si="0"/>
        <v>200</v>
      </c>
    </row>
    <row r="6" spans="1:22">
      <c r="A6">
        <v>3</v>
      </c>
      <c r="B6" t="s">
        <v>91</v>
      </c>
      <c r="C6" t="s">
        <v>92</v>
      </c>
      <c r="D6" t="s">
        <v>93</v>
      </c>
      <c r="Q6">
        <f t="shared" ref="Q6:Q25" si="1">P6+O6+N6+M6+L6+K6+J6+I6+G6+F6+E6+H6</f>
        <v>0</v>
      </c>
      <c r="S6">
        <v>400</v>
      </c>
      <c r="V6">
        <f t="shared" si="0"/>
        <v>400</v>
      </c>
    </row>
    <row r="7" spans="1:22">
      <c r="A7">
        <v>4</v>
      </c>
      <c r="B7" t="s">
        <v>95</v>
      </c>
      <c r="C7" t="s">
        <v>203</v>
      </c>
      <c r="D7" t="s">
        <v>93</v>
      </c>
      <c r="Q7">
        <f t="shared" si="1"/>
        <v>0</v>
      </c>
      <c r="S7">
        <v>500</v>
      </c>
      <c r="V7">
        <f t="shared" si="0"/>
        <v>500</v>
      </c>
    </row>
    <row r="8" spans="1:22">
      <c r="A8">
        <v>5</v>
      </c>
      <c r="B8" t="s">
        <v>98</v>
      </c>
      <c r="C8" t="s">
        <v>99</v>
      </c>
      <c r="D8" t="s">
        <v>100</v>
      </c>
      <c r="Q8">
        <f t="shared" si="1"/>
        <v>0</v>
      </c>
      <c r="S8">
        <v>600</v>
      </c>
      <c r="V8">
        <f t="shared" si="0"/>
        <v>600</v>
      </c>
    </row>
    <row r="9" spans="1:22">
      <c r="A9">
        <v>6</v>
      </c>
      <c r="B9" t="s">
        <v>111</v>
      </c>
      <c r="C9" t="s">
        <v>112</v>
      </c>
      <c r="D9" t="s">
        <v>109</v>
      </c>
      <c r="Q9">
        <f t="shared" si="1"/>
        <v>0</v>
      </c>
      <c r="V9">
        <f t="shared" si="0"/>
        <v>0</v>
      </c>
    </row>
    <row r="10" spans="1:22">
      <c r="A10">
        <v>7</v>
      </c>
      <c r="B10" t="s">
        <v>107</v>
      </c>
      <c r="C10" t="s">
        <v>108</v>
      </c>
      <c r="D10" t="s">
        <v>116</v>
      </c>
      <c r="Q10">
        <f t="shared" si="1"/>
        <v>0</v>
      </c>
      <c r="S10">
        <v>800</v>
      </c>
      <c r="V10">
        <f t="shared" si="0"/>
        <v>800</v>
      </c>
    </row>
    <row r="11" spans="1:22">
      <c r="A11">
        <v>8</v>
      </c>
      <c r="B11" t="s">
        <v>204</v>
      </c>
      <c r="C11" t="s">
        <v>205</v>
      </c>
      <c r="D11" t="s">
        <v>109</v>
      </c>
      <c r="Q11">
        <f t="shared" si="1"/>
        <v>0</v>
      </c>
      <c r="V11">
        <f t="shared" si="0"/>
        <v>0</v>
      </c>
    </row>
    <row r="12" spans="1:22">
      <c r="A12">
        <v>9</v>
      </c>
      <c r="B12" t="s">
        <v>206</v>
      </c>
      <c r="C12" t="s">
        <v>207</v>
      </c>
      <c r="D12" t="s">
        <v>109</v>
      </c>
      <c r="Q12">
        <f t="shared" si="1"/>
        <v>0</v>
      </c>
      <c r="V12">
        <f t="shared" si="0"/>
        <v>0</v>
      </c>
    </row>
    <row r="13" spans="1:22">
      <c r="A13">
        <v>10</v>
      </c>
      <c r="B13" t="s">
        <v>118</v>
      </c>
      <c r="C13" t="s">
        <v>119</v>
      </c>
      <c r="D13" t="s">
        <v>109</v>
      </c>
      <c r="Q13">
        <f t="shared" si="1"/>
        <v>0</v>
      </c>
      <c r="V13">
        <f t="shared" si="0"/>
        <v>0</v>
      </c>
    </row>
    <row r="14" spans="1:22">
      <c r="A14">
        <v>11</v>
      </c>
      <c r="B14" t="s">
        <v>208</v>
      </c>
      <c r="C14" t="s">
        <v>209</v>
      </c>
      <c r="D14" t="s">
        <v>109</v>
      </c>
      <c r="Q14">
        <f t="shared" si="1"/>
        <v>0</v>
      </c>
      <c r="S14">
        <v>800</v>
      </c>
      <c r="V14">
        <f t="shared" si="0"/>
        <v>800</v>
      </c>
    </row>
    <row r="15" spans="1:22">
      <c r="A15">
        <v>12</v>
      </c>
      <c r="B15" t="s">
        <v>178</v>
      </c>
      <c r="C15" t="s">
        <v>179</v>
      </c>
      <c r="D15" t="s">
        <v>109</v>
      </c>
      <c r="Q15">
        <f t="shared" si="1"/>
        <v>0</v>
      </c>
      <c r="V15">
        <f t="shared" si="0"/>
        <v>0</v>
      </c>
    </row>
    <row r="16" spans="1:22">
      <c r="A16">
        <v>13</v>
      </c>
      <c r="B16" t="s">
        <v>153</v>
      </c>
      <c r="C16" t="s">
        <v>154</v>
      </c>
      <c r="D16" t="s">
        <v>109</v>
      </c>
      <c r="Q16">
        <f t="shared" si="1"/>
        <v>0</v>
      </c>
      <c r="V16">
        <f t="shared" si="0"/>
        <v>0</v>
      </c>
    </row>
    <row r="17" spans="1:22">
      <c r="A17">
        <v>14</v>
      </c>
      <c r="B17" t="s">
        <v>162</v>
      </c>
      <c r="C17" t="s">
        <v>163</v>
      </c>
      <c r="D17" t="s">
        <v>109</v>
      </c>
      <c r="Q17">
        <f t="shared" si="1"/>
        <v>0</v>
      </c>
      <c r="V17">
        <f t="shared" si="0"/>
        <v>0</v>
      </c>
    </row>
    <row r="18" spans="1:22">
      <c r="A18">
        <v>15</v>
      </c>
      <c r="B18" t="s">
        <v>140</v>
      </c>
      <c r="C18" t="s">
        <v>141</v>
      </c>
      <c r="D18" t="s">
        <v>109</v>
      </c>
      <c r="Q18">
        <f t="shared" si="1"/>
        <v>0</v>
      </c>
      <c r="V18">
        <f t="shared" si="0"/>
        <v>0</v>
      </c>
    </row>
    <row r="19" spans="1:22">
      <c r="A19">
        <v>16</v>
      </c>
      <c r="B19" t="s">
        <v>210</v>
      </c>
      <c r="C19" t="s">
        <v>211</v>
      </c>
      <c r="D19" t="s">
        <v>109</v>
      </c>
      <c r="Q19">
        <f t="shared" si="1"/>
        <v>0</v>
      </c>
      <c r="V19">
        <f t="shared" si="0"/>
        <v>0</v>
      </c>
    </row>
    <row r="20" spans="1:22">
      <c r="A20">
        <v>17</v>
      </c>
      <c r="B20" t="s">
        <v>146</v>
      </c>
      <c r="C20" t="s">
        <v>147</v>
      </c>
      <c r="D20" t="s">
        <v>109</v>
      </c>
      <c r="Q20">
        <f t="shared" si="1"/>
        <v>0</v>
      </c>
      <c r="V20">
        <f t="shared" si="0"/>
        <v>0</v>
      </c>
    </row>
    <row r="21" spans="1:22">
      <c r="A21">
        <v>18</v>
      </c>
      <c r="B21" t="s">
        <v>128</v>
      </c>
      <c r="C21" t="s">
        <v>129</v>
      </c>
      <c r="D21" t="s">
        <v>109</v>
      </c>
      <c r="Q21">
        <f t="shared" si="1"/>
        <v>0</v>
      </c>
      <c r="V21">
        <f t="shared" si="0"/>
        <v>0</v>
      </c>
    </row>
    <row r="22" spans="1:22">
      <c r="A22">
        <v>19</v>
      </c>
      <c r="B22" t="s">
        <v>165</v>
      </c>
      <c r="C22" t="s">
        <v>166</v>
      </c>
      <c r="D22" t="s">
        <v>109</v>
      </c>
      <c r="Q22">
        <f t="shared" si="1"/>
        <v>0</v>
      </c>
      <c r="V22">
        <f t="shared" si="0"/>
        <v>0</v>
      </c>
    </row>
    <row r="23" spans="1:22">
      <c r="A23">
        <v>20</v>
      </c>
      <c r="B23" t="s">
        <v>159</v>
      </c>
      <c r="C23" t="s">
        <v>160</v>
      </c>
      <c r="D23" t="s">
        <v>109</v>
      </c>
      <c r="Q23">
        <f t="shared" si="1"/>
        <v>0</v>
      </c>
      <c r="V23">
        <f t="shared" si="0"/>
        <v>0</v>
      </c>
    </row>
    <row r="24" spans="1:22">
      <c r="A24">
        <v>21</v>
      </c>
      <c r="B24" t="s">
        <v>212</v>
      </c>
      <c r="C24" t="s">
        <v>213</v>
      </c>
      <c r="D24" t="s">
        <v>109</v>
      </c>
      <c r="Q24">
        <f t="shared" si="1"/>
        <v>0</v>
      </c>
      <c r="V24">
        <f t="shared" si="0"/>
        <v>0</v>
      </c>
    </row>
    <row r="25" spans="1:22">
      <c r="A25">
        <v>22</v>
      </c>
      <c r="B25" t="s">
        <v>114</v>
      </c>
      <c r="C25" t="s">
        <v>115</v>
      </c>
      <c r="D25" t="s">
        <v>109</v>
      </c>
      <c r="Q25">
        <f t="shared" si="1"/>
        <v>0</v>
      </c>
      <c r="V25">
        <f t="shared" si="0"/>
        <v>0</v>
      </c>
    </row>
    <row r="26" spans="1:22">
      <c r="A26" t="s">
        <v>214</v>
      </c>
      <c r="E26">
        <f t="shared" ref="E26:U26" si="2">SUM(E4:E25)</f>
        <v>0</v>
      </c>
      <c r="F26">
        <f t="shared" si="2"/>
        <v>0</v>
      </c>
      <c r="G26">
        <f t="shared" si="2"/>
        <v>0</v>
      </c>
      <c r="H26">
        <f t="shared" si="2"/>
        <v>0</v>
      </c>
      <c r="I26">
        <f t="shared" si="2"/>
        <v>0</v>
      </c>
      <c r="J26">
        <f t="shared" si="2"/>
        <v>0</v>
      </c>
      <c r="K26">
        <f t="shared" si="2"/>
        <v>0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0</v>
      </c>
      <c r="P26">
        <f t="shared" si="2"/>
        <v>0</v>
      </c>
      <c r="Q26">
        <f t="shared" si="2"/>
        <v>0</v>
      </c>
      <c r="R26">
        <f t="shared" si="2"/>
        <v>0</v>
      </c>
      <c r="S26">
        <f t="shared" si="2"/>
        <v>3300</v>
      </c>
      <c r="T26">
        <f t="shared" si="2"/>
        <v>0</v>
      </c>
      <c r="U26">
        <f t="shared" si="2"/>
        <v>0</v>
      </c>
      <c r="V26">
        <f t="shared" si="0"/>
        <v>3300</v>
      </c>
    </row>
  </sheetData>
  <mergeCells count="4">
    <mergeCell ref="A1:V1"/>
    <mergeCell ref="A2:Q2"/>
    <mergeCell ref="R2:V2"/>
    <mergeCell ref="A26:D26"/>
  </mergeCells>
  <pageMargins left="0.75" right="0.75" top="1" bottom="1" header="0.5" footer="0.5"/>
  <headerFooter/>
  <ignoredErrors>
    <ignoredError sqref="A1:V2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:B1"/>
    </sheetView>
  </sheetViews>
  <sheetFormatPr defaultColWidth="9" defaultRowHeight="15.6"/>
  <sheetData>
    <row r="1" spans="1:11">
      <c r="A1" t="s">
        <v>215</v>
      </c>
    </row>
    <row r="2" spans="1:11">
      <c r="A2" t="s">
        <v>216</v>
      </c>
    </row>
    <row r="3" spans="1:11">
      <c r="A3" t="s">
        <v>3</v>
      </c>
      <c r="B3" t="s">
        <v>193</v>
      </c>
      <c r="C3" t="s">
        <v>194</v>
      </c>
      <c r="D3" t="s">
        <v>195</v>
      </c>
      <c r="E3" t="s">
        <v>66</v>
      </c>
      <c r="I3" t="s">
        <v>217</v>
      </c>
      <c r="K3" t="s">
        <v>218</v>
      </c>
    </row>
    <row r="4" spans="1:11">
      <c r="E4" t="s">
        <v>219</v>
      </c>
      <c r="F4" t="s">
        <v>220</v>
      </c>
      <c r="G4" t="s">
        <v>221</v>
      </c>
      <c r="H4" t="s">
        <v>222</v>
      </c>
      <c r="I4" t="s">
        <v>223</v>
      </c>
      <c r="J4" t="s">
        <v>224</v>
      </c>
    </row>
    <row r="5" spans="1:11">
      <c r="A5">
        <v>1</v>
      </c>
      <c r="B5" t="s">
        <v>87</v>
      </c>
      <c r="C5" t="s">
        <v>88</v>
      </c>
      <c r="D5" t="s">
        <v>89</v>
      </c>
      <c r="E5">
        <v>22668</v>
      </c>
      <c r="F5" t="s">
        <v>225</v>
      </c>
      <c r="G5">
        <v>0.97</v>
      </c>
      <c r="H5">
        <f>ROUND(E5*G5,0)</f>
        <v>21988</v>
      </c>
      <c r="I5">
        <f>ROUND(E5*(1-G5),0)</f>
        <v>680</v>
      </c>
      <c r="J5">
        <v>1000</v>
      </c>
    </row>
    <row r="6" spans="1:11">
      <c r="A6">
        <v>2</v>
      </c>
      <c r="B6" t="s">
        <v>91</v>
      </c>
      <c r="C6" t="s">
        <v>92</v>
      </c>
      <c r="D6" t="s">
        <v>93</v>
      </c>
      <c r="E6">
        <v>216</v>
      </c>
      <c r="F6">
        <v>106.944</v>
      </c>
      <c r="G6">
        <v>0.94</v>
      </c>
      <c r="H6">
        <f>E6*G6</f>
        <v>203.04</v>
      </c>
      <c r="I6">
        <f>ROUND(E6*F6*(1-G6),0)</f>
        <v>1386</v>
      </c>
      <c r="J6">
        <v>926</v>
      </c>
    </row>
    <row r="7" spans="1:11">
      <c r="A7">
        <v>3</v>
      </c>
      <c r="B7" t="s">
        <v>95</v>
      </c>
      <c r="C7" t="s">
        <v>96</v>
      </c>
      <c r="D7" t="s">
        <v>93</v>
      </c>
      <c r="E7">
        <v>192</v>
      </c>
      <c r="F7">
        <v>106.944</v>
      </c>
      <c r="G7">
        <v>0.96</v>
      </c>
      <c r="H7">
        <f>E7*G7</f>
        <v>184.32</v>
      </c>
      <c r="I7">
        <f>ROUND(E7*F7*(1-G7),0)</f>
        <v>821</v>
      </c>
      <c r="J7">
        <v>821</v>
      </c>
    </row>
    <row r="8" spans="1:11">
      <c r="A8">
        <v>4</v>
      </c>
      <c r="B8" t="s">
        <v>98</v>
      </c>
      <c r="C8" t="s">
        <v>99</v>
      </c>
      <c r="D8" t="s">
        <v>100</v>
      </c>
      <c r="E8">
        <v>149.6</v>
      </c>
      <c r="F8">
        <v>106.944</v>
      </c>
      <c r="G8">
        <v>0.94</v>
      </c>
      <c r="H8">
        <f>E8*G8</f>
        <v>140.624</v>
      </c>
      <c r="I8">
        <f>ROUND(E8*F8*(1-G8),0)</f>
        <v>960</v>
      </c>
      <c r="J8">
        <v>1100</v>
      </c>
    </row>
    <row r="9" spans="1:11">
      <c r="A9">
        <v>5</v>
      </c>
      <c r="B9" t="s">
        <v>102</v>
      </c>
      <c r="C9" t="s">
        <v>103</v>
      </c>
      <c r="D9" t="s">
        <v>35</v>
      </c>
      <c r="E9">
        <v>76.8</v>
      </c>
      <c r="F9">
        <v>106.944</v>
      </c>
      <c r="G9">
        <v>1</v>
      </c>
      <c r="H9">
        <f>E9*G9</f>
        <v>76.8</v>
      </c>
      <c r="I9">
        <f>ROUND(E9*F9*(1-G9),0)</f>
        <v>0</v>
      </c>
      <c r="J9">
        <v>0</v>
      </c>
    </row>
    <row r="10" spans="1:11">
      <c r="A10" t="s">
        <v>214</v>
      </c>
      <c r="E10">
        <f>SUM(E6:E9)</f>
        <v>634.4</v>
      </c>
      <c r="F10">
        <f>ROUND(E10*F9,0)</f>
        <v>67845</v>
      </c>
      <c r="H10">
        <f>SUM(H6:H9)</f>
        <v>604.784</v>
      </c>
      <c r="I10">
        <f>SUM(I5:I9)</f>
        <v>3847</v>
      </c>
      <c r="J10">
        <f>SUM(J5:J9)</f>
        <v>3847</v>
      </c>
    </row>
    <row r="12" spans="1:11">
      <c r="A12" t="s">
        <v>226</v>
      </c>
      <c r="H12" t="s">
        <v>227</v>
      </c>
    </row>
  </sheetData>
  <mergeCells count="12">
    <mergeCell ref="A1:B1"/>
    <mergeCell ref="A2:K2"/>
    <mergeCell ref="E3:H3"/>
    <mergeCell ref="I3:J3"/>
    <mergeCell ref="A10:D10"/>
    <mergeCell ref="A12:B12"/>
    <mergeCell ref="H12:K12"/>
    <mergeCell ref="A3:A4"/>
    <mergeCell ref="B3:B4"/>
    <mergeCell ref="C3:C4"/>
    <mergeCell ref="D3:D4"/>
    <mergeCell ref="K3:K4"/>
  </mergeCells>
  <pageMargins left="0.75" right="0.75" top="1" bottom="1" header="0.5" footer="0.5"/>
  <headerFooter/>
  <ignoredErrors>
    <ignoredError sqref="A1:K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汇总表</vt:lpstr>
      <vt:lpstr>工资表</vt:lpstr>
      <vt:lpstr>附件（专项奖励，个人罚款。其他津补贴）</vt:lpstr>
      <vt:lpstr>个人绩效考核及二次分配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lzj</cp:lastModifiedBy>
  <dcterms:created xsi:type="dcterms:W3CDTF">1996-12-26T17:32:00Z</dcterms:created>
  <dcterms:modified xsi:type="dcterms:W3CDTF">2026-06-07T08:10:23Z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>
    <vt:lpwstr>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2052-12.1.0.26895</vt:lpwstr>
  </property>
  <property fmtid="{D5CDD505-2E9C-101B-9397-08002B2CF9AE}" pid="5" name="ICV">
    <vt:lpwstr>7D8D479190D641FC8DFA1EDB85680246_13</vt:lpwstr>
  </property>
  <property fmtid="{D5CDD505-2E9C-101B-9397-08002B2CF9AE}" pid="6" name="CalculationRule">
    <vt:i4>0</vt:i4>
  </property>
</Properties>
</file>